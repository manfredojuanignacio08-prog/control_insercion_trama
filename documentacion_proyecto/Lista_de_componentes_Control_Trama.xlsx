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17.25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7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68" t="inlineStr">
        <is>
          <t>Módulos de relé, 3 canales en total (5V; el de 2 canales,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/>
      </c>
      <c r="F7" s="7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15" customHeight="1" s="59">
      <c r="A8" s="75" t="inlineStr">
        <is>
          <t>Módulo fuente HLK-5M05 (220V→5V, 1A)</t>
        </is>
      </c>
      <c r="B8" s="76" t="inlineStr">
        <is>
          <t>Alimenta ESP32 + relés + sensado, independiente del telar</t>
        </is>
      </c>
      <c r="C8" s="77" t="n">
        <v>1</v>
      </c>
      <c r="D8" s="78" t="n">
        <v>7000</v>
      </c>
      <c r="E8" s="79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15" customHeight="1" s="59">
      <c r="A9" s="75" t="inlineStr">
        <is>
          <t>Optoacoplador PC817</t>
        </is>
      </c>
      <c r="B9" s="76" t="inlineStr">
        <is>
          <t>Aísla el 24V AC del botón del GPIO del ESP32, uno por canal</t>
        </is>
      </c>
      <c r="C9" s="77" t="n">
        <v>3</v>
      </c>
      <c r="D9" s="78" t="n">
        <v>500</v>
      </c>
      <c r="E9" s="79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15" customHeight="1" s="59">
      <c r="A10" s="75" t="inlineStr">
        <is>
          <t>Puente rectificador DB157 (1A)</t>
        </is>
      </c>
      <c r="B10" s="76" t="inlineStr">
        <is>
          <t>Convierte el 24V AC del botón en pulsos de DC, antes del PC817</t>
        </is>
      </c>
      <c r="C10" s="77" t="n">
        <v>3</v>
      </c>
      <c r="D10" s="78" t="n">
        <v>500</v>
      </c>
      <c r="E10" s="79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15" customHeight="1" s="59">
      <c r="A11" s="75" t="inlineStr">
        <is>
          <t>Resistencia 2,2kΩ 1W</t>
        </is>
      </c>
      <c r="B11" s="76" t="inlineStr">
        <is>
          <t>Limita la corriente hacia el LED del PC817. Es el valor para una botonera de 18 a 24 V: si al medirla diera entre 12 y 18 V, va de 1,2 kΩ 1 W.</t>
        </is>
      </c>
      <c r="C11" s="77" t="n">
        <v>3</v>
      </c>
      <c r="D11" s="81" t="n">
        <v>150</v>
      </c>
      <c r="E11" s="82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30.75" customHeight="1" s="59">
      <c r="A13" s="68" t="inlineStr">
        <is>
          <t>Resistencias 10kΩ ¼W</t>
        </is>
      </c>
      <c r="B13" s="69" t="inlineStr">
        <is>
          <t>Relés: pull-up en IN1 e IN2, pull-down a GND en S, la entrada del módulo de Retroceder (con pull-up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</t>
        </is>
      </c>
    </row>
    <row r="14" ht="45.75" customHeight="1" s="59">
      <c r="A14" s="68" t="inlineStr">
        <is>
          <t>Capacitor electrolítico de 220 a 470 µF</t>
        </is>
      </c>
      <c r="B14" s="69" t="inlineStr">
        <is>
          <t>Sostiene los 5 V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83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45.75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73" t="inlineStr">
        <is>
          <t>https://candy-ho.com/producto/tiras-de-40-pines-hembra-paso-2-54mm-recta-1-fila-arduino/ -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1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1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 xml:space="preserve">Cable multifilar 6 conductores, 1 mm²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51.25" customHeight="1" s="59">
      <c r="A20" s="68" t="inlineStr">
        <is>
          <t>Capacitor electrolítico 22 µF 50 V</t>
        </is>
      </c>
      <c r="B20" s="69" t="inlineStr">
        <is>
          <t>Mantiene encendido el LED del optoacoplador entre los semiciclos del rectificado</t>
        </is>
      </c>
      <c r="C20" s="70" t="n">
        <v>3</v>
      </c>
      <c r="D20" s="78" t="n">
        <v>400</v>
      </c>
      <c r="E20" s="72">
        <f>C20*D20</f>
        <v/>
      </c>
      <c r="F20" s="80" t="inlineStr">
        <is>
          <t>Comprado en el local</t>
        </is>
      </c>
      <c r="G20" s="74" t="inlineStr">
        <is>
          <t>Sin él, el sensado manda avisos solos, sin que nadie apriete nada: es crítico en el canal de Retroceder. Con 47 µF un toque rápido del botón no se registra.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/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/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29.25" customHeight="1" s="59">
      <c r="A26" s="68" t="inlineStr">
        <is>
          <t>(no aplica) Regulador 7824</t>
        </is>
      </c>
      <c r="B26" s="9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/>
      </c>
      <c r="F26" s="98" t="inlineStr">
        <is>
          <t>Comprado en el local</t>
        </is>
      </c>
      <c r="G26" s="58" t="inlineStr">
        <is>
          <t>No se usa: el telar da 12 a 14 V continuos, dentro del rango del sensor (6 a 36 V).</t>
        </is>
      </c>
    </row>
    <row r="27" ht="29.25" customHeight="1" s="59">
      <c r="A27" s="68" t="inlineStr">
        <is>
          <t>Optoacoplador PC817</t>
        </is>
      </c>
      <c r="B27" s="9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/>
      </c>
      <c r="F27" s="98" t="inlineStr">
        <is>
          <t>Comprado en el local</t>
        </is>
      </c>
      <c r="G27" s="100" t="inlineStr">
        <is>
          <t>Uno en uso y uno de repuesto. Mismo componente que el sensado del Bloque A.</t>
        </is>
      </c>
    </row>
    <row r="28" ht="22.5" customHeight="1" s="59">
      <c r="A28" s="68" t="inlineStr">
        <is>
          <t>(no aplica) Puente rectificador DB157</t>
        </is>
      </c>
      <c r="B28" s="80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/>
      </c>
      <c r="F28" s="98" t="inlineStr">
        <is>
          <t>Comprado en el local</t>
        </is>
      </c>
      <c r="G28" s="74" t="inlineStr">
        <is>
          <t>Ya se tiene</t>
        </is>
      </c>
    </row>
    <row r="29" ht="22.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/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2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/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28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/>
      </c>
      <c r="F31" s="98" t="inlineStr">
        <is>
          <t>Comprado en el local</t>
        </is>
      </c>
      <c r="G31" s="100" t="inlineStr">
        <is>
          <t>Mantiene el pin del ESP32 en nivel alto mientras el sensor no detecta.</t>
        </is>
      </c>
    </row>
    <row r="32" ht="25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/>
      </c>
      <c r="F32" s="98" t="inlineStr">
        <is>
          <t>Comprado en el local</t>
        </is>
      </c>
      <c r="G32" s="100" t="inlineStr">
        <is>
          <t>No se usa: acompañaba al regulador 7824, que se descartó.</t>
        </is>
      </c>
    </row>
    <row r="33" ht="5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/>
      </c>
      <c r="F33" s="98" t="inlineStr">
        <is>
          <t>Comprado en el local</t>
        </is>
      </c>
      <c r="G33" s="101" t="inlineStr">
        <is>
          <t>Ya construido y montado el 10/09/2026: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/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48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/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45" customHeight="1" s="59">
      <c r="A39" s="68" t="inlineStr">
        <is>
          <t>Relé OptoMOS LCA110 de IXYS (DIP-6)</t>
        </is>
      </c>
      <c r="B39" s="69" t="inlineStr">
        <is>
          <t>Da la señal en lugar de cada lector óptico (conexión final), comandado directo desde un pin del ESP32</t>
        </is>
      </c>
      <c r="C39" s="70" t="n">
        <v>4</v>
      </c>
      <c r="D39" s="71" t="n">
        <v>6034</v>
      </c>
      <c r="E39" s="72">
        <f>C39*D39</f>
        <v/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 (cada uno con su propia disposición de patas). Conexión final: el relé en lugar del lector, con una resistencia de protección (diagramas/hardware/conexion_final_rele.png). Comprar 1 y probarlo antes de los otros 3.</t>
        </is>
      </c>
    </row>
    <row r="40" ht="33.75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/>
      </c>
      <c r="F40" s="98" t="inlineStr">
        <is>
          <t>Comprado en el local</t>
        </is>
      </c>
      <c r="G40" s="100" t="inlineStr">
        <is>
          <t>Para el conexionado de los cuatro canales dentro del gabinete, más repuestos. Las del conector de cada lector son las de 4 vías (abajo).</t>
        </is>
      </c>
    </row>
    <row r="41" ht="33.75" customHeight="1" s="59">
      <c r="A41" s="68" t="inlineStr">
        <is>
          <t>Cable para los 4 canales</t>
        </is>
      </c>
      <c r="B41" s="80" t="inlineStr">
        <is>
          <t>Conexión entre el gabinete y el conector de cada lector</t>
        </is>
      </c>
      <c r="C41" s="70" t="n">
        <v>8</v>
      </c>
      <c r="D41" s="71" t="n">
        <v>700</v>
      </c>
      <c r="E41" s="72">
        <f>C41*D41</f>
        <v/>
      </c>
      <c r="F41" s="98" t="inlineStr">
        <is>
          <t>-</t>
        </is>
      </c>
      <c r="G41" s="10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/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21.75" customHeight="1" s="59">
      <c r="A43" s="68" t="inlineStr">
        <is>
          <t>Resistencia 330 Ω ¼ W</t>
        </is>
      </c>
      <c r="B43" s="80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/>
      </c>
      <c r="F43" s="98" t="inlineStr">
        <is>
          <t>Comprado en el local</t>
        </is>
      </c>
      <c r="G43" s="100" t="inlineStr">
        <is>
          <t>Una por canal. Con los 3,3 V del ESP32 entrega unos 6 mA. NO es opcional: sin ella se daña el LED del relé. El SSR de triac no la necesita porque la trae incorporada.</t>
        </is>
      </c>
    </row>
    <row r="44" ht="4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/>
      </c>
      <c r="F44" s="98" t="inlineStr">
        <is>
          <t>-</t>
        </is>
      </c>
      <c r="G44" s="74" t="inlineStr">
        <is>
          <t>Se suma el 10/10/2026: con todo probado en protoboard, se está haciendo la plaqueta para probar todo de manera correcta.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/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/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/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/>
      </c>
      <c r="F48" s="98" t="inlineStr">
        <is>
          <t>-</t>
        </is>
      </c>
      <c r="G48" s="74" t="inlineStr">
        <is>
          <t>Se suma el 10/10/2026. Precio a completar.</t>
        </is>
      </c>
    </row>
    <row r="49" ht="45" customHeight="1" s="59">
      <c r="A49" s="68" t="inlineStr">
        <is>
          <t>Zócalo DIP de 6 patas</t>
        </is>
      </c>
      <c r="B49" s="69" t="inlineStr">
        <is>
          <t>Permite cambiar un relé LCA110 sin desoldar</t>
        </is>
      </c>
      <c r="C49" s="70" t="n">
        <v>4</v>
      </c>
      <c r="D49" s="71" t="n"/>
      <c r="E49" s="72">
        <f>C49*D49</f>
        <v/>
      </c>
      <c r="F49" s="98" t="inlineStr">
        <is>
          <t>-</t>
        </is>
      </c>
      <c r="G49" s="74" t="inlineStr">
        <is>
          <t>Se suma el 11/10/2026: el relé va enchufado en el zócalo, con la muesca del lado de la pata 1. Precio a completar.</t>
        </is>
      </c>
    </row>
    <row r="50" ht="60" customHeight="1" s="59">
      <c r="A50" s="68" t="inlineStr">
        <is>
          <t>Resistencia de protección (220 Ω 2 W o 470 Ω 3 W)</t>
        </is>
      </c>
      <c r="B50" s="69" t="inlineStr">
        <is>
          <t>Lado del telar: limita la corriente si hay un error de cableado. Va del + del conector del lector a la pata 4 del relé</t>
        </is>
      </c>
      <c r="C50" s="70" t="n">
        <v>4</v>
      </c>
      <c r="D50" s="71" t="n"/>
      <c r="E50" s="72">
        <f>C50*D50</f>
        <v/>
      </c>
      <c r="F50" s="98" t="inlineStr">
        <is>
          <t>-</t>
        </is>
      </c>
      <c r="G50" s="74" t="inlineStr">
        <is>
          <t>Se suma el 11/10/2026 con la conexión final (la más segura). 220 Ω 2 W si el lector se alimenta con hasta 15 V; 470 Ω 3 W de 15 a 30 V: se elige con la medición. Precio a completar.</t>
        </is>
      </c>
    </row>
    <row r="51" ht="45" customHeight="1" s="59">
      <c r="A51" s="68" t="inlineStr">
        <is>
          <t>Resistencia 10 kΩ ½ W</t>
        </is>
      </c>
      <c r="B51" s="69" t="inlineStr">
        <is>
          <t>Lado del telar: de la señal al − de cada conector de lector. Con el relé abierto deja la señal en 0 V, como con papel</t>
        </is>
      </c>
      <c r="C51" s="70" t="n">
        <v>4</v>
      </c>
      <c r="D51" s="71" t="n"/>
      <c r="E51" s="72">
        <f>C51*D51</f>
        <v/>
      </c>
      <c r="F51" s="98" t="inlineStr">
        <is>
          <t>-</t>
        </is>
      </c>
      <c r="G51" s="74" t="inlineStr">
        <is>
          <t>Se suma el 11/10/2026 con la conexión final. Una por canal. Precio a completar.</t>
        </is>
      </c>
    </row>
    <row r="52" ht="60" customHeight="1" s="59">
      <c r="A52" s="68" t="inlineStr">
        <is>
          <t>Borneras de 4 vías</t>
        </is>
      </c>
      <c r="B52" s="69" t="inlineStr">
        <is>
          <t>Conector de cada lector en la plaqueta del telar, y para dejar aislados los cables del lector</t>
        </is>
      </c>
      <c r="C52" s="70" t="n">
        <v>8</v>
      </c>
      <c r="D52" s="71" t="n"/>
      <c r="E52" s="72">
        <f>C52*D52</f>
        <v/>
      </c>
      <c r="F52" s="98" t="inlineStr">
        <is>
          <t>-</t>
        </is>
      </c>
      <c r="G52" s="74" t="inlineStr">
        <is>
          <t>Se suma el 11/10/2026 con la conexión final. Por canal: una para el conector del lector y otra para dejar aislados y rotulados sus 4 cables, que se vuelven a conectar en minutos. Precio a completar.</t>
        </is>
      </c>
    </row>
    <row r="53" ht="18" customHeight="1" s="59">
      <c r="A53" s="111" t="n"/>
      <c r="B53" s="112" t="inlineStr">
        <is>
          <t>Subtotal bloque</t>
        </is>
      </c>
      <c r="C53" s="87" t="n"/>
      <c r="D53" s="88" t="n"/>
      <c r="E53" s="113">
        <f>SUM(E38:E52)</f>
        <v/>
      </c>
      <c r="F53" s="114" t="n"/>
      <c r="G53" s="115" t="n"/>
    </row>
    <row r="54" ht="15.75" customHeight="1" s="59"/>
    <row r="55" ht="24" customHeight="1" s="59">
      <c r="A55" s="116" t="inlineStr">
        <is>
          <t>TOTAL DEL PROYECTO COMPLETO (A + C + D)</t>
        </is>
      </c>
      <c r="B55" s="117" t="n"/>
      <c r="C55" s="118" t="n"/>
      <c r="D55" s="118" t="n"/>
      <c r="E55" s="119">
        <f>E21+E34+E53</f>
        <v/>
      </c>
      <c r="F55" s="120" t="n"/>
      <c r="G55" s="121" t="n"/>
    </row>
    <row r="56" ht="15.75" customHeight="1" s="59"/>
    <row r="57" ht="21.75" customHeight="1" s="59">
      <c r="A57" s="122" t="inlineStr">
        <is>
          <t>• ORDEN DE COMPRA: (1) Bloque A: comprado e instalado en el telar (19/09/2026). (2) Medición de la alimentación y la señal de un lector óptico (la velocidad ya está confirmada: 300 pasadas por minuto). (3) Recién entonces el Bloque D, con la conexión final: el relé en lugar del lector, con una resistencia de protección que se elige con esa medición. Estado al 10/10/2026: el Nivel 2 (sensor de pasada y relé LCA110) se probó en protoboard y funcionó; se está haciendo la plaqueta para la prueba definitiva.</t>
        </is>
      </c>
    </row>
    <row r="58" ht="15.75" customHeight="1" s="59"/>
    <row r="59" ht="15" customHeight="1" s="59"/>
    <row r="60" ht="15" customHeight="1" s="59"/>
    <row r="61" ht="15" customHeight="1" s="59">
      <c r="A61" s="58" t="n"/>
      <c r="C61" s="58" t="n"/>
      <c r="F61" s="58" t="n"/>
    </row>
    <row r="62" ht="15" customHeight="1" s="59"/>
    <row r="63" ht="15" customHeight="1" s="59">
      <c r="A63" s="58" t="n"/>
      <c r="F63" s="58" t="n"/>
    </row>
    <row r="64" ht="15" customHeight="1" s="59"/>
    <row r="65" ht="15.75" customHeight="1" s="59">
      <c r="A65" s="58" t="n"/>
    </row>
    <row r="66" ht="15.75" customHeight="1" s="59">
      <c r="A66" s="58" t="n"/>
    </row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63:G63"/>
    <mergeCell ref="A4:G4"/>
    <mergeCell ref="B53:D53"/>
    <mergeCell ref="A63:D63"/>
    <mergeCell ref="A61:B61"/>
    <mergeCell ref="B34:D34"/>
    <mergeCell ref="F21:G21"/>
    <mergeCell ref="A57:B60"/>
    <mergeCell ref="A2:G3"/>
    <mergeCell ref="A55:B55"/>
    <mergeCell ref="A36:G36"/>
    <mergeCell ref="A1:G1"/>
    <mergeCell ref="C61:D61"/>
    <mergeCell ref="A65:G65"/>
    <mergeCell ref="H1:Z3"/>
    <mergeCell ref="H4:Z252"/>
    <mergeCell ref="F61:G61"/>
    <mergeCell ref="A66:G66"/>
    <mergeCell ref="B21:D21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2026-10-14T11:06:38Z</dcterms:modified>
  <cp:lastModifiedBy>Juan Ignacio MANFREDO</cp:lastModifiedBy>
  <cp:revision>0</cp:revision>
</cp:coreProperties>
</file>