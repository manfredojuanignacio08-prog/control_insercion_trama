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onent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_-[$$-2C0A]\ * #,##0.00_-;\-[$$-2C0A]\ * #,##0.00_-;_-[$$-2C0A]\ * \-??_-;_-@"/>
    <numFmt numFmtId="165" formatCode="_-[$$-409]* #,##0.00_ ;_-[$$-409]* \-#,##0.00\ ;_-[$$-409]* \-??_ ;_-@_ "/>
  </numFmts>
  <fonts count="17">
    <font>
      <name val="IBM Plex Sans"/>
      <charset val="1"/>
      <family val="0"/>
      <color theme="1"/>
      <sz val="11"/>
    </font>
    <font>
      <name val="IBM Plex Sans"/>
      <family val="0"/>
      <sz val="10"/>
    </font>
    <font>
      <name val="IBM Plex Sans"/>
      <family val="0"/>
      <sz val="10"/>
    </font>
    <font>
      <name val="IBM Plex Sans"/>
      <family val="0"/>
      <sz val="10"/>
    </font>
    <font>
      <name val="IBM Plex Sans"/>
      <charset val="1"/>
      <family val="0"/>
      <b val="1"/>
      <color rgb="FF1E3A5F"/>
      <sz val="26"/>
    </font>
    <font>
      <name val="IBM Plex Sans"/>
      <charset val="1"/>
      <family val="0"/>
      <i val="1"/>
      <color rgb="FF666666"/>
      <sz val="10"/>
    </font>
    <font>
      <name val="IBM Plex Sans"/>
      <charset val="1"/>
      <family val="0"/>
      <b val="1"/>
      <color rgb="FFFFFFFF"/>
      <sz val="15"/>
    </font>
    <font>
      <name val="IBM Plex Sans"/>
      <charset val="1"/>
      <family val="0"/>
      <b val="1"/>
      <color theme="1"/>
      <sz val="12"/>
    </font>
    <font>
      <name val="IBM Plex Sans"/>
      <charset val="1"/>
      <family val="0"/>
      <color theme="1"/>
      <sz val="12"/>
    </font>
    <font>
      <name val="IBM Plex Sans"/>
      <charset val="1"/>
      <family val="0"/>
      <color rgb="FF0000FF"/>
      <sz val="12"/>
      <u val="single"/>
    </font>
    <font>
      <name val="IBM Plex Sans"/>
      <charset val="1"/>
      <family val="0"/>
      <color theme="1"/>
      <sz val="13"/>
    </font>
    <font>
      <name val="IBM Plex Sans"/>
      <charset val="1"/>
      <family val="0"/>
      <b val="1"/>
      <color theme="1"/>
      <sz val="15"/>
    </font>
    <font>
      <name val="IBM Plex Sans"/>
      <charset val="1"/>
      <family val="0"/>
      <b val="1"/>
      <color theme="1"/>
      <sz val="14"/>
    </font>
    <font>
      <name val="IBM Plex Sans"/>
      <charset val="1"/>
      <family val="0"/>
      <color rgb="FF000000"/>
      <sz val="12"/>
    </font>
    <font>
      <name val="IBM Plex Sans"/>
      <charset val="1"/>
      <family val="0"/>
      <b val="1"/>
      <color rgb="FFFFFFFF"/>
      <sz val="16"/>
    </font>
    <font>
      <name val="IBM Plex Sans"/>
      <charset val="1"/>
      <family val="0"/>
      <b val="1"/>
      <color rgb="FF1E3A5F"/>
      <sz val="15"/>
    </font>
    <font>
      <name val="IBM Plex Sans"/>
      <charset val="1"/>
      <family val="0"/>
      <i val="1"/>
      <color rgb="FF555555"/>
      <sz val="9"/>
    </font>
  </fonts>
  <fills count="7">
    <fill>
      <patternFill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EDF1"/>
        <bgColor rgb="FFF6F8FA"/>
      </patternFill>
    </fill>
    <fill>
      <patternFill patternType="solid">
        <fgColor rgb="FFFFF8DC"/>
        <bgColor rgb="FFF6F8FA"/>
      </patternFill>
    </fill>
    <fill>
      <patternFill patternType="solid">
        <fgColor rgb="FFF6F8FA"/>
        <bgColor rgb="FFFFFFFF"/>
      </patternFill>
    </fill>
    <fill>
      <patternFill patternType="solid">
        <fgColor rgb="FFFFFFFF"/>
        <bgColor rgb="FFF6F8FA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medium"/>
      <top/>
      <bottom style="thin">
        <color rgb="FFB7B7B7"/>
      </bottom>
      <diagonal/>
    </border>
    <border>
      <left style="medium"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/>
      <top style="thin">
        <color rgb="FFB7B7B7"/>
      </top>
      <bottom style="thin">
        <color rgb="FFB7B7B7"/>
      </bottom>
      <diagonal/>
    </border>
    <border>
      <left style="medium"/>
      <right/>
      <top style="thin">
        <color rgb="FFB7B7B7"/>
      </top>
      <bottom style="medium"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/>
      <diagonal/>
    </border>
    <border>
      <left style="thin">
        <color rgb="FFB7B7B7"/>
      </left>
      <right style="medium"/>
      <top style="thin">
        <color rgb="FFB7B7B7"/>
      </top>
      <bottom style="medium"/>
      <diagonal/>
    </border>
    <border>
      <left style="medium"/>
      <right style="medium"/>
      <top style="medium"/>
      <bottom style="thin">
        <color rgb="FFB7B7B7"/>
      </bottom>
      <diagonal/>
    </border>
    <border>
      <left style="medium"/>
      <right style="thin">
        <color rgb="FFB7B7B7"/>
      </right>
      <top style="thin">
        <color rgb="FFB7B7B7"/>
      </top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medium"/>
      <diagonal/>
    </border>
    <border>
      <left/>
      <right style="thin">
        <color rgb="FFB7B7B7"/>
      </right>
      <top style="thin">
        <color rgb="FFB7B7B7"/>
      </top>
      <bottom style="medium"/>
      <diagonal/>
    </border>
    <border>
      <left/>
      <right style="medium"/>
      <top style="thin">
        <color rgb="FFB7B7B7"/>
      </top>
      <bottom/>
      <diagonal/>
    </border>
    <border>
      <left/>
      <right style="medium"/>
      <top style="thin">
        <color rgb="FFB7B7B7"/>
      </top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>
        <color rgb="FFB7B7B7"/>
      </bottom>
      <diagonal/>
    </border>
    <border>
      <left/>
      <right style="medium"/>
      <top style="medium"/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7" fillId="3" borderId="2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bottom"/>
    </xf>
    <xf numFmtId="0" fontId="7" fillId="3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center"/>
    </xf>
    <xf numFmtId="0" fontId="8" fillId="4" borderId="6" applyAlignment="1" pivotButton="0" quotePrefix="0" xfId="0">
      <alignment horizontal="general" vertical="center" wrapText="1"/>
    </xf>
    <xf numFmtId="0" fontId="8" fillId="0" borderId="6" applyAlignment="1" pivotButton="0" quotePrefix="0" xfId="0">
      <alignment horizontal="center" vertical="center"/>
    </xf>
    <xf numFmtId="164" fontId="8" fillId="4" borderId="6" applyAlignment="1" pivotButton="0" quotePrefix="0" xfId="0">
      <alignment horizontal="general" vertical="center"/>
    </xf>
    <xf numFmtId="164" fontId="8" fillId="0" borderId="6" applyAlignment="1" pivotButton="0" quotePrefix="0" xfId="0">
      <alignment horizontal="general" vertical="center"/>
    </xf>
    <xf numFmtId="0" fontId="9" fillId="4" borderId="6" applyAlignment="1" pivotButton="0" quotePrefix="0" xfId="0">
      <alignment horizontal="general" vertical="center"/>
    </xf>
    <xf numFmtId="0" fontId="8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bottom"/>
    </xf>
    <xf numFmtId="0" fontId="8" fillId="4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center" vertical="bottom"/>
    </xf>
    <xf numFmtId="164" fontId="8" fillId="4" borderId="6" applyAlignment="1" pivotButton="0" quotePrefix="0" xfId="0">
      <alignment horizontal="general" vertical="bottom"/>
    </xf>
    <xf numFmtId="164" fontId="8" fillId="0" borderId="6" applyAlignment="1" pivotButton="0" quotePrefix="0" xfId="0">
      <alignment horizontal="general" vertical="bottom"/>
    </xf>
    <xf numFmtId="0" fontId="8" fillId="4" borderId="6" applyAlignment="1" pivotButton="0" quotePrefix="0" xfId="0">
      <alignment horizontal="general" vertical="center"/>
    </xf>
    <xf numFmtId="164" fontId="8" fillId="4" borderId="6" applyAlignment="1" pivotButton="0" quotePrefix="0" xfId="0">
      <alignment horizontal="right" vertical="bottom"/>
    </xf>
    <xf numFmtId="164" fontId="8" fillId="0" borderId="6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right" vertical="bottom"/>
    </xf>
    <xf numFmtId="164" fontId="12" fillId="5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6" fillId="2" borderId="11" applyAlignment="1" pivotButton="0" quotePrefix="0" xfId="0">
      <alignment horizontal="general" vertical="center"/>
    </xf>
    <xf numFmtId="0" fontId="7" fillId="3" borderId="5" applyAlignment="1" pivotButton="0" quotePrefix="0" xfId="0">
      <alignment horizontal="center" vertical="bottom"/>
    </xf>
    <xf numFmtId="0" fontId="7" fillId="3" borderId="6" applyAlignment="1" pivotButton="0" quotePrefix="0" xfId="0">
      <alignment horizontal="center" vertical="bottom"/>
    </xf>
    <xf numFmtId="0" fontId="7" fillId="3" borderId="7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center" wrapText="1"/>
    </xf>
    <xf numFmtId="0" fontId="10" fillId="0" borderId="12" applyAlignment="1" pivotButton="0" quotePrefix="0" xfId="0">
      <alignment horizontal="general" vertical="bottom"/>
    </xf>
    <xf numFmtId="164" fontId="11" fillId="5" borderId="9" applyAlignment="1" pivotButton="0" quotePrefix="0" xfId="0">
      <alignment horizontal="general" vertical="bottom"/>
    </xf>
    <xf numFmtId="0" fontId="10" fillId="0" borderId="9" applyAlignment="1" pivotButton="0" quotePrefix="0" xfId="0">
      <alignment horizontal="general" vertical="bottom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general" vertical="center" wrapText="1"/>
    </xf>
    <xf numFmtId="165" fontId="8" fillId="4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0" fontId="10" fillId="0" borderId="12" applyAlignment="1" pivotButton="0" quotePrefix="0" xfId="0">
      <alignment horizontal="general" vertical="center"/>
    </xf>
    <xf numFmtId="0" fontId="11" fillId="0" borderId="9" applyAlignment="1" pivotButton="0" quotePrefix="0" xfId="0">
      <alignment horizontal="right" vertical="center"/>
    </xf>
    <xf numFmtId="164" fontId="11" fillId="5" borderId="9" applyAlignment="1" pivotButton="0" quotePrefix="0" xfId="0">
      <alignment horizontal="general" vertical="center"/>
    </xf>
    <xf numFmtId="0" fontId="10" fillId="0" borderId="9" applyAlignment="1" pivotButton="0" quotePrefix="0" xfId="0">
      <alignment horizontal="general" vertical="center"/>
    </xf>
    <xf numFmtId="0" fontId="10" fillId="0" borderId="10" applyAlignment="1" pivotButton="0" quotePrefix="0" xfId="0">
      <alignment horizontal="general" vertical="center"/>
    </xf>
    <xf numFmtId="0" fontId="14" fillId="2" borderId="13" applyAlignment="1" pivotButton="0" quotePrefix="0" xfId="0">
      <alignment horizontal="left" vertical="center"/>
    </xf>
    <xf numFmtId="0" fontId="0" fillId="2" borderId="14" applyAlignment="1" pivotButton="0" quotePrefix="0" xfId="0">
      <alignment horizontal="general" vertical="bottom"/>
    </xf>
    <xf numFmtId="164" fontId="15" fillId="4" borderId="15" applyAlignment="1" pivotButton="0" quotePrefix="0" xfId="0">
      <alignment horizontal="center" vertical="center"/>
    </xf>
    <xf numFmtId="0" fontId="0" fillId="6" borderId="16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/>
    </xf>
    <xf numFmtId="0" fontId="0" fillId="0" borderId="19" pivotButton="0" quotePrefix="0" xfId="0"/>
    <xf numFmtId="0" fontId="0" fillId="0" borderId="20" pivotButton="0" quotePrefix="0" xfId="0"/>
    <xf numFmtId="0" fontId="7" fillId="3" borderId="2" applyAlignment="1" pivotButton="0" quotePrefix="0" xfId="0">
      <alignment horizontal="center" vertical="bottom"/>
    </xf>
    <xf numFmtId="0" fontId="7" fillId="3" borderId="3" applyAlignment="1" pivotButton="0" quotePrefix="0" xfId="0">
      <alignment horizontal="center" vertical="bottom"/>
    </xf>
    <xf numFmtId="0" fontId="7" fillId="3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center"/>
    </xf>
    <xf numFmtId="0" fontId="8" fillId="4" borderId="6" applyAlignment="1" pivotButton="0" quotePrefix="0" xfId="0">
      <alignment horizontal="general" vertical="center" wrapText="1"/>
    </xf>
    <xf numFmtId="0" fontId="8" fillId="0" borderId="6" applyAlignment="1" pivotButton="0" quotePrefix="0" xfId="0">
      <alignment horizontal="center" vertical="center"/>
    </xf>
    <xf numFmtId="164" fontId="8" fillId="4" borderId="6" applyAlignment="1" pivotButton="0" quotePrefix="0" xfId="0">
      <alignment horizontal="general" vertical="center"/>
    </xf>
    <xf numFmtId="164" fontId="8" fillId="0" borderId="6" applyAlignment="1" pivotButton="0" quotePrefix="0" xfId="0">
      <alignment horizontal="general" vertical="center"/>
    </xf>
    <xf numFmtId="0" fontId="9" fillId="4" borderId="6" applyAlignment="1" pivotButton="0" quotePrefix="0" xfId="0">
      <alignment horizontal="general" vertical="center"/>
    </xf>
    <xf numFmtId="0" fontId="8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bottom"/>
    </xf>
    <xf numFmtId="0" fontId="8" fillId="4" borderId="6" applyAlignment="1" pivotButton="0" quotePrefix="0" xfId="0">
      <alignment horizontal="general" vertical="bottom"/>
    </xf>
    <xf numFmtId="0" fontId="8" fillId="0" borderId="6" applyAlignment="1" pivotButton="0" quotePrefix="0" xfId="0">
      <alignment horizontal="center" vertical="bottom"/>
    </xf>
    <xf numFmtId="164" fontId="8" fillId="4" borderId="6" applyAlignment="1" pivotButton="0" quotePrefix="0" xfId="0">
      <alignment horizontal="general" vertical="bottom"/>
    </xf>
    <xf numFmtId="164" fontId="8" fillId="0" borderId="6" applyAlignment="1" pivotButton="0" quotePrefix="0" xfId="0">
      <alignment horizontal="general" vertical="bottom"/>
    </xf>
    <xf numFmtId="0" fontId="8" fillId="4" borderId="6" applyAlignment="1" pivotButton="0" quotePrefix="0" xfId="0">
      <alignment horizontal="general" vertical="center"/>
    </xf>
    <xf numFmtId="164" fontId="8" fillId="4" borderId="6" applyAlignment="1" pivotButton="0" quotePrefix="0" xfId="0">
      <alignment horizontal="right" vertical="bottom"/>
    </xf>
    <xf numFmtId="164" fontId="8" fillId="0" borderId="6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bottom"/>
    </xf>
    <xf numFmtId="0" fontId="10" fillId="0" borderId="8" applyAlignment="1" pivotButton="0" quotePrefix="0" xfId="0">
      <alignment horizontal="general" vertical="bottom"/>
    </xf>
    <xf numFmtId="0" fontId="11" fillId="0" borderId="9" applyAlignment="1" pivotButton="0" quotePrefix="0" xfId="0">
      <alignment horizontal="right" vertical="bottom"/>
    </xf>
    <xf numFmtId="0" fontId="0" fillId="0" borderId="23" pivotButton="0" quotePrefix="0" xfId="0"/>
    <xf numFmtId="0" fontId="0" fillId="0" borderId="24" pivotButton="0" quotePrefix="0" xfId="0"/>
    <xf numFmtId="164" fontId="12" fillId="5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0" fillId="0" borderId="26" pivotButton="0" quotePrefix="0" xfId="0"/>
    <xf numFmtId="0" fontId="6" fillId="2" borderId="11" applyAlignment="1" pivotButton="0" quotePrefix="0" xfId="0">
      <alignment horizontal="general" vertical="center"/>
    </xf>
    <xf numFmtId="0" fontId="0" fillId="0" borderId="29" pivotButton="0" quotePrefix="0" xfId="0"/>
    <xf numFmtId="0" fontId="0" fillId="0" borderId="30" pivotButton="0" quotePrefix="0" xfId="0"/>
    <xf numFmtId="0" fontId="7" fillId="3" borderId="5" applyAlignment="1" pivotButton="0" quotePrefix="0" xfId="0">
      <alignment horizontal="center" vertical="bottom"/>
    </xf>
    <xf numFmtId="0" fontId="7" fillId="3" borderId="6" applyAlignment="1" pivotButton="0" quotePrefix="0" xfId="0">
      <alignment horizontal="center" vertical="bottom"/>
    </xf>
    <xf numFmtId="0" fontId="7" fillId="3" borderId="7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center"/>
    </xf>
    <xf numFmtId="0" fontId="8" fillId="0" borderId="7" applyAlignment="1" pivotButton="0" quotePrefix="0" xfId="0">
      <alignment horizontal="general" vertical="center" wrapText="1"/>
    </xf>
    <xf numFmtId="0" fontId="10" fillId="0" borderId="12" applyAlignment="1" pivotButton="0" quotePrefix="0" xfId="0">
      <alignment horizontal="general" vertical="bottom"/>
    </xf>
    <xf numFmtId="164" fontId="11" fillId="5" borderId="9" applyAlignment="1" pivotButton="0" quotePrefix="0" xfId="0">
      <alignment horizontal="general" vertical="bottom"/>
    </xf>
    <xf numFmtId="0" fontId="10" fillId="0" borderId="9" applyAlignment="1" pivotButton="0" quotePrefix="0" xfId="0">
      <alignment horizontal="general" vertical="bottom"/>
    </xf>
    <xf numFmtId="0" fontId="7" fillId="3" borderId="5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general" vertical="center" wrapText="1"/>
    </xf>
    <xf numFmtId="165" fontId="8" fillId="4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0" fontId="10" fillId="0" borderId="12" applyAlignment="1" pivotButton="0" quotePrefix="0" xfId="0">
      <alignment horizontal="general" vertical="center"/>
    </xf>
    <xf numFmtId="0" fontId="11" fillId="0" borderId="9" applyAlignment="1" pivotButton="0" quotePrefix="0" xfId="0">
      <alignment horizontal="right" vertical="center"/>
    </xf>
    <xf numFmtId="164" fontId="11" fillId="5" borderId="9" applyAlignment="1" pivotButton="0" quotePrefix="0" xfId="0">
      <alignment horizontal="general" vertical="center"/>
    </xf>
    <xf numFmtId="0" fontId="10" fillId="0" borderId="9" applyAlignment="1" pivotButton="0" quotePrefix="0" xfId="0">
      <alignment horizontal="general" vertical="center"/>
    </xf>
    <xf numFmtId="0" fontId="10" fillId="0" borderId="10" applyAlignment="1" pivotButton="0" quotePrefix="0" xfId="0">
      <alignment horizontal="general" vertical="center"/>
    </xf>
    <xf numFmtId="0" fontId="14" fillId="2" borderId="13" applyAlignment="1" pivotButton="0" quotePrefix="0" xfId="0">
      <alignment horizontal="left" vertical="center"/>
    </xf>
    <xf numFmtId="0" fontId="0" fillId="0" borderId="14" pivotButton="0" quotePrefix="0" xfId="0"/>
    <xf numFmtId="0" fontId="0" fillId="2" borderId="14" applyAlignment="1" pivotButton="0" quotePrefix="0" xfId="0">
      <alignment horizontal="general" vertical="bottom"/>
    </xf>
    <xf numFmtId="164" fontId="15" fillId="4" borderId="15" applyAlignment="1" pivotButton="0" quotePrefix="0" xfId="0">
      <alignment horizontal="center" vertical="center"/>
    </xf>
    <xf numFmtId="0" fontId="0" fillId="6" borderId="16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center" wrapText="1"/>
    </xf>
    <xf numFmtId="0" fontId="9" fillId="4" borderId="6" applyAlignment="1" pivotButton="0" quotePrefix="0" xfId="0">
      <alignment horizontal="general" vertical="center" wrapText="1"/>
    </xf>
    <xf numFmtId="0" fontId="7" fillId="0" borderId="5" applyAlignment="1" pivotButton="0" quotePrefix="0" xfId="0">
      <alignment horizontal="general" vertical="center" wrapText="1"/>
    </xf>
    <xf numFmtId="0" fontId="8" fillId="4" borderId="6" applyAlignment="1" pivotButton="0" quotePrefix="0" xfId="0">
      <alignment horizontal="general" vertical="center" wrapText="1"/>
    </xf>
    <xf numFmtId="164" fontId="8" fillId="4" borderId="6" applyAlignment="1" pivotButton="0" quotePrefix="0" xfId="0">
      <alignment horizontal="right" vertical="center"/>
    </xf>
    <xf numFmtId="164" fontId="8" fillId="0" borderId="6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center" wrapText="1"/>
    </xf>
    <xf numFmtId="0" fontId="13" fillId="4" borderId="6" applyAlignment="1" pivotButton="0" quotePrefix="0" xfId="0">
      <alignment horizontal="general" vertical="center" wrapText="1"/>
    </xf>
    <xf numFmtId="0" fontId="8" fillId="0" borderId="7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8ED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IBM Plex Sans" pitchFamily="0" charset="1"/>
        <a:ea typeface="IBM Plex Sans" pitchFamily="0" charset="1"/>
        <a:cs typeface="IBM Plex Sans" pitchFamily="0" charset="1"/>
      </a:majorFont>
      <a:minorFont>
        <a:latin typeface="IBM Plex Sans" pitchFamily="0" charset="1"/>
        <a:ea typeface="IBM Plex Sans" pitchFamily="0" charset="1"/>
        <a:cs typeface="IBM Plex Sans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andy-ho.com/producto/nodemcu-esp32-wifi-bluetooth-4-2-iot-wroom-esp32s-arduino/" TargetMode="External" Id="rId1"/><Relationship Type="http://schemas.openxmlformats.org/officeDocument/2006/relationships/hyperlink" Target="https://candy-ho.com/producto/modulo-relay-rele-de-2-canales-5v-10a-arduino-pic-avr-2/" TargetMode="External" Id="rId2"/><Relationship Type="http://schemas.openxmlformats.org/officeDocument/2006/relationships/hyperlink" Target="https://candy-ho.com/producto/pcb-placa-experimental-doble-7x9-prototipos-electronica-fr4/" TargetMode="External" Id="rId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25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38" activePane="bottomLeft" state="frozen"/>
      <selection pane="topLeft" activeCell="A1" activeCellId="0" sqref="A1"/>
      <selection pane="bottomLeft" activeCell="B43" activeCellId="0" sqref="B43"/>
    </sheetView>
  </sheetViews>
  <sheetFormatPr baseColWidth="8" defaultColWidth="12.6640625" defaultRowHeight="15" zeroHeight="0" outlineLevelRow="0"/>
  <cols>
    <col width="55.33" customWidth="1" style="58" min="1" max="1"/>
    <col width="57.11" customWidth="1" style="58" min="2" max="2"/>
    <col width="7" customWidth="1" style="58" min="3" max="3"/>
    <col width="16.89" customWidth="1" style="58" min="4" max="4"/>
    <col width="20.11" customWidth="1" style="58" min="5" max="5"/>
    <col width="36.11" customWidth="1" style="58" min="6" max="6"/>
    <col width="50.22" customWidth="1" style="58" min="7" max="7"/>
    <col width="8.779999999999999" customWidth="1" style="58" min="8" max="26"/>
  </cols>
  <sheetData>
    <row r="1" ht="33.75" customHeight="1" s="59">
      <c r="A1" s="60" t="inlineStr">
        <is>
          <t>Lista de componentes, Control de Inserción de Trama</t>
        </is>
      </c>
      <c r="H1" s="58" t="n"/>
    </row>
    <row r="2" hidden="1" ht="15.75" customHeight="1" s="59">
      <c r="A2" s="61" t="n"/>
    </row>
    <row r="3" ht="15" customHeight="1" s="59"/>
    <row r="4" ht="19.5" customHeight="1" s="59">
      <c r="A4" s="62" t="inlineStr">
        <is>
          <t>BLOQUE A, Nivel 1: Marcha, Pausa y Retroceder en el telar (Etapa 4)</t>
        </is>
      </c>
      <c r="B4" s="63" t="n"/>
      <c r="C4" s="63" t="n"/>
      <c r="D4" s="63" t="n"/>
      <c r="E4" s="63" t="n"/>
      <c r="F4" s="63" t="n"/>
      <c r="G4" s="64" t="n"/>
      <c r="H4" s="58" t="n"/>
    </row>
    <row r="5" ht="15" customHeight="1" s="59">
      <c r="A5" s="65" t="inlineStr">
        <is>
          <t>Componente</t>
        </is>
      </c>
      <c r="B5" s="66" t="inlineStr">
        <is>
          <t>Función</t>
        </is>
      </c>
      <c r="C5" s="66" t="inlineStr">
        <is>
          <t>Cant.</t>
        </is>
      </c>
      <c r="D5" s="66" t="inlineStr">
        <is>
          <t>Precio unit.</t>
        </is>
      </c>
      <c r="E5" s="66" t="inlineStr">
        <is>
          <t>Subtotal</t>
        </is>
      </c>
      <c r="F5" s="66" t="inlineStr">
        <is>
          <t>Link</t>
        </is>
      </c>
      <c r="G5" s="67" t="inlineStr">
        <is>
          <t>Notas</t>
        </is>
      </c>
    </row>
    <row r="6" ht="47" customHeight="1" s="59">
      <c r="A6" s="68" t="inlineStr">
        <is>
          <t>ESP32 (NodeMCU / WROOM-32)</t>
        </is>
      </c>
      <c r="B6" s="125" t="inlineStr">
        <is>
          <t>El cerebro: recibe órdenes por WiFi y dispara los relés</t>
        </is>
      </c>
      <c r="C6" s="70" t="n">
        <v>1</v>
      </c>
      <c r="D6" s="71" t="n">
        <v>12203</v>
      </c>
      <c r="E6" s="72">
        <f>C6*D6</f>
        <v/>
      </c>
      <c r="F6" s="123" t="inlineStr">
        <is>
          <t>https://candy-ho.com/producto/nodemcu-esp32-wifi-bluetooth-4-2-iot-wroom-esp32s-arduino/</t>
        </is>
      </c>
      <c r="G6" s="74" t="inlineStr">
        <is>
          <t>Ya se tiene</t>
        </is>
      </c>
    </row>
    <row r="7" ht="48.75" customHeight="1" s="59">
      <c r="A7" s="124" t="inlineStr">
        <is>
          <t>Módulos de relé, 3 canales en total (5V; el de 2 canales, optoacoplado)</t>
        </is>
      </c>
      <c r="B7" s="125" t="inlineStr">
        <is>
          <t>En paralelo a los botones Marcha, Pausa y Retroceder del telar</t>
        </is>
      </c>
      <c r="C7" s="70" t="n">
        <v>1</v>
      </c>
      <c r="D7" s="71" t="n">
        <v>5000</v>
      </c>
      <c r="E7" s="72">
        <f>C7*D7</f>
        <v/>
      </c>
      <c r="F7" s="123" t="inlineStr">
        <is>
          <t>https://candy-ho.com/producto/modulo-relay-rele-de-2-canales-5v-10a-arduino-pic-avr-2/</t>
        </is>
      </c>
      <c r="G7" s="74" t="inlineStr">
        <is>
          <t>Un módulo de 2 canales (Marcha/Pausa, activo-bajo) más un módulo individual (Retroceder, activo-alto).</t>
        </is>
      </c>
    </row>
    <row r="8" ht="32.5" customHeight="1" s="59">
      <c r="A8" s="68" t="inlineStr">
        <is>
          <t>Módulo fuente HLK-5M05 (220V→5V, 1A)</t>
        </is>
      </c>
      <c r="B8" s="125" t="inlineStr">
        <is>
          <t>Alimenta ESP32 + relés + sensado, independiente del telar</t>
        </is>
      </c>
      <c r="C8" s="70" t="n">
        <v>1</v>
      </c>
      <c r="D8" s="71" t="n">
        <v>7000</v>
      </c>
      <c r="E8" s="72">
        <f>C8*D8</f>
        <v/>
      </c>
      <c r="F8" s="80" t="inlineStr">
        <is>
          <t>Comprado en el local</t>
        </is>
      </c>
      <c r="G8" s="74" t="inlineStr">
        <is>
          <t>Ya se tiene</t>
        </is>
      </c>
    </row>
    <row r="9" ht="32.5" customHeight="1" s="59">
      <c r="A9" s="68" t="inlineStr">
        <is>
          <t>Optoacoplador PC817</t>
        </is>
      </c>
      <c r="B9" s="125" t="inlineStr">
        <is>
          <t>Aísla el 24V AC del botón del GPIO del ESP32, uno por canal</t>
        </is>
      </c>
      <c r="C9" s="70" t="n">
        <v>3</v>
      </c>
      <c r="D9" s="71" t="n">
        <v>500</v>
      </c>
      <c r="E9" s="72">
        <f>C9*D9</f>
        <v/>
      </c>
      <c r="F9" s="80" t="inlineStr">
        <is>
          <t>Comprado en el local</t>
        </is>
      </c>
      <c r="G9" s="74" t="inlineStr">
        <is>
          <t>Ya se tiene</t>
        </is>
      </c>
    </row>
    <row r="10" ht="32.5" customHeight="1" s="59">
      <c r="A10" s="68" t="inlineStr">
        <is>
          <t>Puente rectificador DB157 (1A)</t>
        </is>
      </c>
      <c r="B10" s="125" t="inlineStr">
        <is>
          <t>Convierte el 24V AC del botón en pulsos de DC, antes del PC817</t>
        </is>
      </c>
      <c r="C10" s="70" t="n">
        <v>3</v>
      </c>
      <c r="D10" s="71" t="n">
        <v>500</v>
      </c>
      <c r="E10" s="72">
        <f>C10*D10</f>
        <v/>
      </c>
      <c r="F10" s="80" t="inlineStr">
        <is>
          <t>Comprado en el local</t>
        </is>
      </c>
      <c r="G10" s="74" t="inlineStr">
        <is>
          <t>Ya se tiene</t>
        </is>
      </c>
    </row>
    <row r="11" ht="47" customHeight="1" s="59">
      <c r="A11" s="68" t="inlineStr">
        <is>
          <t>Resistencia 2,2kΩ 1W</t>
        </is>
      </c>
      <c r="B11" s="125" t="inlineStr">
        <is>
          <t>Limita la corriente hacia el LED del PC817. Es el valor para una botonera de 18 a 24 V: si al medirla diera entre 12 y 18 V, va de 1,2 kΩ 1 W.</t>
        </is>
      </c>
      <c r="C11" s="70" t="n">
        <v>3</v>
      </c>
      <c r="D11" s="126" t="n">
        <v>150</v>
      </c>
      <c r="E11" s="127">
        <f>C11*D11</f>
        <v/>
      </c>
      <c r="F11" s="80" t="inlineStr">
        <is>
          <t>Comprado en el local</t>
        </is>
      </c>
      <c r="G11" s="74" t="inlineStr">
        <is>
          <t>Ya se tiene</t>
        </is>
      </c>
    </row>
    <row r="12" ht="15" customHeight="1" s="59">
      <c r="A12" s="68" t="inlineStr">
        <is>
          <t>Capacitores cerámicos 100nF</t>
        </is>
      </c>
      <c r="B12" s="125" t="inlineStr">
        <is>
          <t>Filtran ruido de alta frecuencia</t>
        </is>
      </c>
      <c r="C12" s="70" t="n">
        <v>3</v>
      </c>
      <c r="D12" s="71" t="n">
        <v>300</v>
      </c>
      <c r="E12" s="72">
        <f>C12*D12</f>
        <v/>
      </c>
      <c r="F12" s="80" t="inlineStr">
        <is>
          <t>Comprado en el local</t>
        </is>
      </c>
      <c r="G12" s="74" t="inlineStr">
        <is>
          <t>Ya se tiene</t>
        </is>
      </c>
    </row>
    <row r="13" ht="61.75" customHeight="1" s="59">
      <c r="A13" s="68" t="inlineStr">
        <is>
          <t>Resistencias 10kΩ ¼W</t>
        </is>
      </c>
      <c r="B13" s="125" t="inlineStr">
        <is>
          <t>Relés: pull-up en IN1 e IN2, pull-down a GND en S, la entrada del módulo de Retroceder (con pull-up arranca cerrado). Sensado: pull-up en GPIO 34 (Retroceder); GPIO 32 y 33 (Marcha y Pausa) usan la pull-up interna del ESP32</t>
        </is>
      </c>
      <c r="C13" s="70" t="n">
        <v>6</v>
      </c>
      <c r="D13" s="71" t="n">
        <v>150</v>
      </c>
      <c r="E13" s="72">
        <f>C13*D13</f>
        <v/>
      </c>
      <c r="F13" s="80" t="inlineStr">
        <is>
          <t>Comprado en el local</t>
        </is>
      </c>
      <c r="G13" s="74" t="inlineStr">
        <is>
          <t>Ya se tiene. 4 en uso y 2 de repuesto.</t>
        </is>
      </c>
    </row>
    <row r="14" ht="70.25" customHeight="1" s="59">
      <c r="A14" s="68" t="inlineStr">
        <is>
          <t>Capacitor electrolítico 470 µF 16 V</t>
        </is>
      </c>
      <c r="B14" s="125" t="inlineStr">
        <is>
          <t>Sostiene los 5 V ante un consumo brusco</t>
        </is>
      </c>
      <c r="C14" s="70" t="n">
        <v>1</v>
      </c>
      <c r="D14" s="71" t="n">
        <v>300</v>
      </c>
      <c r="E14" s="72">
        <f>C14*D14</f>
        <v/>
      </c>
      <c r="F14" s="80" t="inlineStr">
        <is>
          <t>Comprado en el local</t>
        </is>
      </c>
      <c r="G14" s="128" t="inlineStr">
        <is>
          <t>Cuando la bobina de un relé engancha tira unos 70 mA de golpe, y si en ese instante el ESP32 está transmitiendo por WiFi (que le pide picos de hasta 300 mA), la fuente no responde lo bastante rápido y la tensión cae lo suficiente para reiniciarlo.</t>
        </is>
      </c>
    </row>
    <row r="15" ht="91" customHeight="1" s="59">
      <c r="A15" s="68" t="inlineStr">
        <is>
          <t>Protoboard de ensayo y cables</t>
        </is>
      </c>
      <c r="B15" s="125" t="inlineStr">
        <is>
          <t>Montaje y conexionado</t>
        </is>
      </c>
      <c r="C15" s="70" t="n">
        <v>1</v>
      </c>
      <c r="D15" s="71" t="n">
        <v>15000</v>
      </c>
      <c r="E15" s="72">
        <f>C15*D15</f>
        <v/>
      </c>
      <c r="F15" s="123" t="inlineStr">
        <is>
          <t>https://candy-ho.com/producto/tiras-de-40-pines-hembra-paso-2-54mm-recta-1-fila-arduino/ - https://candy-ho.com/producto/pcb-placa-experimental-doble-7x9-prototipos-electronica-fr4/</t>
        </is>
      </c>
      <c r="G15" s="74" t="inlineStr">
        <is>
          <t>La protoboard se usa solo en las pruebas de banco: la entrega final va soldada sobre placa universal, según los Lineamientos.</t>
        </is>
      </c>
    </row>
    <row r="16" ht="32.5" customHeight="1" s="59">
      <c r="A16" s="68" t="inlineStr">
        <is>
          <t>Caja estanca IP65 Roker 230x300x106mm</t>
        </is>
      </c>
      <c r="B16" s="125" t="inlineStr">
        <is>
          <t>Gabinete del ESP32, relés y fuente, montado junto al telar</t>
        </is>
      </c>
      <c r="C16" s="70" t="n">
        <v>1</v>
      </c>
      <c r="D16" s="71" t="n">
        <v>16000</v>
      </c>
      <c r="E16" s="72">
        <f>C16*D16</f>
        <v/>
      </c>
      <c r="F16" s="80" t="inlineStr">
        <is>
          <t>Comprado en el local</t>
        </is>
      </c>
      <c r="G16" s="74" t="inlineStr">
        <is>
          <t>Ya se tiene</t>
        </is>
      </c>
    </row>
    <row r="17" ht="15" customHeight="1" s="59">
      <c r="A17" s="68" t="inlineStr">
        <is>
          <t>Prensacables PG11</t>
        </is>
      </c>
      <c r="B17" s="125" t="inlineStr">
        <is>
          <t>Entrada/salida de cables sin romper el sellado IP65</t>
        </is>
      </c>
      <c r="C17" s="70" t="n">
        <v>4</v>
      </c>
      <c r="D17" s="71" t="n">
        <v>800</v>
      </c>
      <c r="E17" s="72">
        <f>C17*D17</f>
        <v/>
      </c>
      <c r="F17" s="80" t="inlineStr">
        <is>
          <t>Comprado en el local</t>
        </is>
      </c>
      <c r="G17" s="74" t="inlineStr">
        <is>
          <t>Ya se tiene</t>
        </is>
      </c>
    </row>
    <row r="18" ht="32.5" customHeight="1" s="59">
      <c r="A18" s="68" t="inlineStr">
        <is>
          <t>Fusible 1A lento + portafusible</t>
        </is>
      </c>
      <c r="B18" s="125" t="inlineStr">
        <is>
          <t>Protege la entrada de 220V del HLK-5M05 (su datasheet pide 1A)</t>
        </is>
      </c>
      <c r="C18" s="70" t="n">
        <v>1</v>
      </c>
      <c r="D18" s="71" t="n">
        <v>1000</v>
      </c>
      <c r="E18" s="72">
        <f>C18*D18</f>
        <v/>
      </c>
      <c r="F18" s="80" t="inlineStr">
        <is>
          <t>Comprado en el local</t>
        </is>
      </c>
      <c r="G18" s="74" t="inlineStr">
        <is>
          <t>Ya se tiene</t>
        </is>
      </c>
    </row>
    <row r="19" ht="45.75" customHeight="1" s="59">
      <c r="A19" s="68" t="inlineStr">
        <is>
          <t>Cable multifilar 6 conductores, 1 mm²</t>
        </is>
      </c>
      <c r="B19" s="125" t="inlineStr">
        <is>
          <t>Marcha + Pausa + Retroceder</t>
        </is>
      </c>
      <c r="C19" s="70" t="n">
        <v>3</v>
      </c>
      <c r="D19" s="71" t="n">
        <v>2500</v>
      </c>
      <c r="E19" s="72">
        <f>C19*D19</f>
        <v/>
      </c>
      <c r="F19" s="80" t="inlineStr">
        <is>
          <t>Comprado en el local</t>
        </is>
      </c>
      <c r="G19" s="74" t="inlineStr">
        <is>
          <t>Un par por botón: el mismo par alimenta el relé y el sensado. El de 1 mm² además es mecánicamente más robusto frente a la vibración.</t>
        </is>
      </c>
    </row>
    <row r="20" ht="61.75" customHeight="1" s="59">
      <c r="A20" s="68" t="inlineStr">
        <is>
          <t>Capacitor electrolítico 22 µF 50 V</t>
        </is>
      </c>
      <c r="B20" s="125" t="inlineStr">
        <is>
          <t>Mantiene encendido el LED del optoacoplador entre los semiciclos del rectificado</t>
        </is>
      </c>
      <c r="C20" s="70" t="n">
        <v>3</v>
      </c>
      <c r="D20" s="71" t="n">
        <v>400</v>
      </c>
      <c r="E20" s="72">
        <f>C20*D20</f>
        <v/>
      </c>
      <c r="F20" s="80" t="inlineStr">
        <is>
          <t>Comprado en el local</t>
        </is>
      </c>
      <c r="G20" s="74" t="inlineStr">
        <is>
          <t>Sin él, el sensado manda avisos solos, sin que nadie apriete nada: es crítico en el canal de Retroceder. Con 47 µF un toque rápido del botón no se registra.</t>
        </is>
      </c>
    </row>
    <row r="21" ht="61.75" customHeight="1" s="59">
      <c r="A21" s="68" t="inlineStr">
        <is>
          <t>Placa para la plaqueta del ESP32</t>
        </is>
      </c>
      <c r="B21" s="125" t="inlineStr">
        <is>
          <t>Lleva el ESP32 en sus tiras hembra y saca sus señales a P1 y P2, que se cablean a la plaqueta principal</t>
        </is>
      </c>
      <c r="C21" s="70" t="n">
        <v>1</v>
      </c>
      <c r="D21" s="71" t="n">
        <v>3000</v>
      </c>
      <c r="E21" s="72">
        <f>C21*D21</f>
        <v/>
      </c>
      <c r="F21" s="80" t="inlineStr">
        <is>
          <t>-</t>
        </is>
      </c>
      <c r="G21" s="74" t="inlineStr">
        <is>
          <t>Se suma el 25/10/2026: en la principal impresa, la tira derecha del ESP32 quedó con los pines en otro orden (J5 y J7 invertidos) y el ESP32 no se puede enchufar ahí. De una sola cara y sin puentes (diagramas/hardware/plaqueta_esp32). Precio estimado.</t>
        </is>
      </c>
    </row>
    <row r="22" ht="47" customHeight="1" s="59">
      <c r="A22" s="68" t="inlineStr">
        <is>
          <t>Tira de pines hembra 1×40 (se corta en dos de 19)</t>
        </is>
      </c>
      <c r="B22" s="125" t="inlineStr">
        <is>
          <t>Zócalo del ESP32 de 38 pines en la plaqueta del ESP32: así se cambia sin desoldar</t>
        </is>
      </c>
      <c r="C22" s="70" t="n">
        <v>1</v>
      </c>
      <c r="D22" s="71" t="n">
        <v>1200</v>
      </c>
      <c r="E22" s="72">
        <f>C22*D22</f>
        <v/>
      </c>
      <c r="F22" s="80" t="inlineStr">
        <is>
          <t>-</t>
        </is>
      </c>
      <c r="G22" s="74" t="inlineStr">
        <is>
          <t>Las dos tiras van a 25,4 mm, con el pin 1 del lado de la antena. Medir el módulo antes de soldar. Precio estimado.</t>
        </is>
      </c>
    </row>
    <row r="23" ht="47" customHeight="1" s="59">
      <c r="A23" s="68" t="inlineStr">
        <is>
          <t>Tira de pines macho 1×40 (P1 de 10 y P2 de 5)</t>
        </is>
      </c>
      <c r="B23" s="125" t="inlineStr">
        <is>
          <t>Salidas de la plaqueta del ESP32 hacia la principal</t>
        </is>
      </c>
      <c r="C23" s="70" t="n">
        <v>1</v>
      </c>
      <c r="D23" s="71" t="n">
        <v>600</v>
      </c>
      <c r="E23" s="72">
        <f>C23*D23</f>
        <v/>
      </c>
      <c r="F23" s="80" t="inlineStr">
        <is>
          <t>-</t>
        </is>
      </c>
      <c r="G23" s="74" t="inlineStr">
        <is>
          <t>P1: 3V3, IO34, IO35, IO32, IO33, IO25, IO26, IO27, GND y 5V. P2: IO22, IO21, GND, IO19 e IO18. Precio estimado.</t>
        </is>
      </c>
    </row>
    <row r="24" ht="47" customHeight="1" s="59">
      <c r="A24" s="68" t="inlineStr">
        <is>
          <t>Cables dupont hembra (paquete de 40)</t>
        </is>
      </c>
      <c r="B24" s="125" t="inlineStr">
        <is>
          <t>Unen P1 y P2 con los pads de la principal, cada uno por nombre de señal</t>
        </is>
      </c>
      <c r="C24" s="70" t="n">
        <v>1</v>
      </c>
      <c r="D24" s="71" t="n">
        <v>3000</v>
      </c>
      <c r="E24" s="72">
        <f>C24*D24</f>
        <v/>
      </c>
      <c r="F24" s="80" t="inlineStr">
        <is>
          <t>-</t>
        </is>
      </c>
      <c r="G24" s="74" t="inlineStr">
        <is>
          <t>Se usan 15: hembra en P1/P2 y el otro extremo soldado al pad de la principal. Colores fijos: rojo 5V, naranja 3V3, negro GND. Precio estimado.</t>
        </is>
      </c>
    </row>
    <row r="25" ht="47" customHeight="1" s="59">
      <c r="A25" s="68" t="inlineStr">
        <is>
          <t>Alambre aislado para puentes</t>
        </is>
      </c>
      <c r="B25" s="125" t="inlineStr">
        <is>
          <t>Reemplaza las tres pistas que faltaron en las plaquetas impresas</t>
        </is>
      </c>
      <c r="C25" s="70" t="n">
        <v>3</v>
      </c>
      <c r="D25" s="71" t="n">
        <v>0</v>
      </c>
      <c r="E25" s="72">
        <f>C25*D25</f>
        <v/>
      </c>
      <c r="F25" s="80" t="inlineStr">
        <is>
          <t>-</t>
        </is>
      </c>
      <c r="G25" s="74" t="inlineStr">
        <is>
          <t>Un hilo del cable de red sobrante. Principal: J4-3 ↔ J5-5 (GPIO 34) y J8-1 ↔ J5-6 (GPIO 35). Nivel 2: U3 ↔ R7 (GPIO 19). Sin costo.</t>
        </is>
      </c>
    </row>
    <row r="26" ht="19.5" customHeight="1" s="59">
      <c r="A26" s="85" t="n"/>
      <c r="B26" s="86" t="inlineStr">
        <is>
          <t>Subtotal bloque</t>
        </is>
      </c>
      <c r="C26" s="87" t="n"/>
      <c r="D26" s="88" t="n"/>
      <c r="E26" s="89">
        <f>SUM(E6:E25)</f>
        <v/>
      </c>
      <c r="F26" s="90" t="n"/>
      <c r="G26" s="91" t="n"/>
    </row>
    <row r="27" ht="15.75" customHeight="1" s="59"/>
    <row r="28" ht="18.75" customHeight="1" s="59">
      <c r="A28" s="92" t="inlineStr">
        <is>
          <t>BLOQUE C, Sensor de pasada (INCLUIDO EN ESTA ETAPA)</t>
        </is>
      </c>
      <c r="B28" s="93" t="n"/>
      <c r="C28" s="93" t="n"/>
      <c r="D28" s="93" t="n"/>
      <c r="E28" s="93" t="n"/>
      <c r="F28" s="93" t="n"/>
      <c r="G28" s="94" t="n"/>
    </row>
    <row r="29" ht="15.75" customHeight="1" s="59">
      <c r="A29" s="95" t="inlineStr">
        <is>
          <t>Componente</t>
        </is>
      </c>
      <c r="B29" s="96" t="inlineStr">
        <is>
          <t>Función</t>
        </is>
      </c>
      <c r="C29" s="96" t="inlineStr">
        <is>
          <t>Cant.</t>
        </is>
      </c>
      <c r="D29" s="96" t="inlineStr">
        <is>
          <t>Precio unit.</t>
        </is>
      </c>
      <c r="E29" s="96" t="inlineStr">
        <is>
          <t>Subtotal</t>
        </is>
      </c>
      <c r="F29" s="96" t="inlineStr">
        <is>
          <t>Link</t>
        </is>
      </c>
      <c r="G29" s="97" t="inlineStr">
        <is>
          <t>Notas</t>
        </is>
      </c>
    </row>
    <row r="30" ht="53.25" customHeight="1" s="59">
      <c r="A30" s="68" t="inlineStr">
        <is>
          <t>Sensor inductivo LJ12A3-4-Z/BX (NPN 6–36V)</t>
        </is>
      </c>
      <c r="B30" s="125" t="inlineStr">
        <is>
          <t>Sensor de pasada recomendado, inmune a la pelusa. Es lo que le da al ESP32 el "entendimiento" de movimiento y posición del telar</t>
        </is>
      </c>
      <c r="C30" s="70" t="n">
        <v>1</v>
      </c>
      <c r="D30" s="71" t="n">
        <v>7000</v>
      </c>
      <c r="E30" s="72">
        <f>C30*D30</f>
        <v/>
      </c>
      <c r="F30" s="98" t="inlineStr">
        <is>
          <t>Comprado en el local</t>
        </is>
      </c>
      <c r="G30" s="74" t="inlineStr">
        <is>
          <t>Ya se tiene. Montado el 10/09/2026 sobre un eje que da una vuelta por pasada.</t>
        </is>
      </c>
    </row>
    <row r="31" ht="32.5" customHeight="1" s="59">
      <c r="A31" s="68" t="inlineStr">
        <is>
          <t>Optoacoplador PC817</t>
        </is>
      </c>
      <c r="B31" s="129" t="inlineStr">
        <is>
          <t>Aísla la señal del sensor inductivo (hasta 36V) del GPIO del ESP32</t>
        </is>
      </c>
      <c r="C31" s="70" t="n">
        <v>2</v>
      </c>
      <c r="D31" s="71" t="n">
        <v>700</v>
      </c>
      <c r="E31" s="72">
        <f>C31*D31</f>
        <v/>
      </c>
      <c r="F31" s="98" t="inlineStr">
        <is>
          <t>Comprado en el local</t>
        </is>
      </c>
      <c r="G31" s="130" t="inlineStr">
        <is>
          <t>Uno en uso y uno de repuesto. Mismo componente que el sensado del Bloque A.</t>
        </is>
      </c>
    </row>
    <row r="32" ht="61.75" customHeight="1" s="59">
      <c r="A32" s="68" t="inlineStr">
        <is>
          <t>Cable 3 conectores (para sensor inductivo)</t>
        </is>
      </c>
      <c r="B32" s="80" t="inlineStr">
        <is>
          <t>Conexión entre el gabinete y el sensor inductivo</t>
        </is>
      </c>
      <c r="C32" s="70" t="n">
        <v>3</v>
      </c>
      <c r="D32" s="71" t="n">
        <v>1700</v>
      </c>
      <c r="E32" s="72">
        <f>C32*D32</f>
        <v/>
      </c>
      <c r="F32" s="98" t="inlineStr">
        <is>
          <t>Comprado en el local</t>
        </is>
      </c>
      <c r="G32" s="74" t="inlineStr">
        <is>
          <t>Ya se tiene. Al gabinete llegan dos hilos: el positivo del telar (el mismo punto del marrón) y el negro del sensor; el azul queda en el negativo del telar.</t>
        </is>
      </c>
    </row>
    <row r="33" ht="32.5" customHeight="1" s="59">
      <c r="A33" s="68" t="inlineStr">
        <is>
          <t>Resistencia 1,2 kΩ ¼ W</t>
        </is>
      </c>
      <c r="B33" s="125" t="inlineStr">
        <is>
          <t>Limita la corriente del LED del optoacoplador. Con 13 V da unos 10 mA, el valor de trabajo del PC817</t>
        </is>
      </c>
      <c r="C33" s="70" t="n">
        <v>2</v>
      </c>
      <c r="D33" s="71" t="n">
        <v>150</v>
      </c>
      <c r="E33" s="72">
        <f>C33*D33</f>
        <v/>
      </c>
      <c r="F33" s="98" t="inlineStr">
        <is>
          <t>Comprado en el local</t>
        </is>
      </c>
      <c r="G33" s="100" t="inlineStr">
        <is>
          <t>Uno en uso y uno de repuesto.</t>
        </is>
      </c>
    </row>
    <row r="34" ht="32.5" customHeight="1" s="59">
      <c r="A34" s="68" t="inlineStr">
        <is>
          <t>Resistencia 10kΩ ¼W</t>
        </is>
      </c>
      <c r="B34" s="125" t="inlineStr">
        <is>
          <t>Pull-up del GPIO del sensor</t>
        </is>
      </c>
      <c r="C34" s="70" t="n">
        <v>1</v>
      </c>
      <c r="D34" s="71" t="n">
        <v>150</v>
      </c>
      <c r="E34" s="72">
        <f>C34*D34</f>
        <v/>
      </c>
      <c r="F34" s="98" t="inlineStr">
        <is>
          <t>Comprado en el local</t>
        </is>
      </c>
      <c r="G34" s="130" t="inlineStr">
        <is>
          <t>Mantiene el pin del ESP32 en nivel alto mientras el sensor no detecta.</t>
        </is>
      </c>
    </row>
    <row r="35" ht="61.75" customHeight="1" s="59">
      <c r="A35" s="68" t="inlineStr">
        <is>
          <t>Blanco metálico y soporte</t>
        </is>
      </c>
      <c r="B35" s="125" t="inlineStr">
        <is>
          <t>Paleta de acero sobre el eje y escuadra de montaje. Soporte ya construido</t>
        </is>
      </c>
      <c r="C35" s="70" t="n">
        <v>0</v>
      </c>
      <c r="D35" s="71" t="n">
        <v>0</v>
      </c>
      <c r="E35" s="72">
        <f>C35*D35</f>
        <v/>
      </c>
      <c r="F35" s="98" t="inlineStr">
        <is>
          <t>Comprado en el local</t>
        </is>
      </c>
      <c r="G35" s="130" t="inlineStr">
        <is>
          <t>Ya construido y montado el 10/09/2026: escuadra en L tomada de un tornillo existente del chasis, más un tornillo o chapa como blanco metálico.</t>
        </is>
      </c>
    </row>
    <row r="36" ht="20.25" customHeight="1" s="59">
      <c r="A36" s="102" t="n"/>
      <c r="B36" s="86" t="inlineStr">
        <is>
          <t>Subtotal bloque</t>
        </is>
      </c>
      <c r="C36" s="87" t="n"/>
      <c r="D36" s="88" t="n"/>
      <c r="E36" s="103">
        <f>SUM(E30:E35)</f>
        <v/>
      </c>
      <c r="F36" s="104" t="n"/>
      <c r="G36" s="90" t="n"/>
    </row>
    <row r="37" ht="15.75" customHeight="1" s="59"/>
    <row r="38" ht="20.25" customHeight="1" s="59">
      <c r="A38" s="92" t="inlineStr">
        <is>
          <t>BLOQUE D, Nivel 2: BOBINAS DE SELECCIÓN (4 canales en el C 201)</t>
        </is>
      </c>
      <c r="B38" s="93" t="n"/>
      <c r="C38" s="93" t="n"/>
      <c r="D38" s="93" t="n"/>
      <c r="E38" s="93" t="n"/>
      <c r="F38" s="93" t="n"/>
      <c r="G38" s="94" t="n"/>
    </row>
    <row r="39" ht="15.75" customHeight="1" s="59">
      <c r="A39" s="105" t="inlineStr">
        <is>
          <t>Componente</t>
        </is>
      </c>
      <c r="B39" s="106" t="inlineStr">
        <is>
          <t>Función</t>
        </is>
      </c>
      <c r="C39" s="106" t="inlineStr">
        <is>
          <t>Cant.</t>
        </is>
      </c>
      <c r="D39" s="106" t="inlineStr">
        <is>
          <t>Precio unit.</t>
        </is>
      </c>
      <c r="E39" s="106" t="inlineStr">
        <is>
          <t>Subtotal</t>
        </is>
      </c>
      <c r="F39" s="106" t="inlineStr">
        <is>
          <t>Link</t>
        </is>
      </c>
      <c r="G39" s="107" t="inlineStr">
        <is>
          <t>Notas</t>
        </is>
      </c>
    </row>
    <row r="40" ht="76.25" customHeight="1" s="59">
      <c r="A40" s="68" t="inlineStr">
        <is>
          <t>Bobinas de selección del telar (YA INSTALADAS)</t>
        </is>
      </c>
      <c r="B40" s="125" t="inlineStr">
        <is>
          <t>El actuador: empuja la palanca de selección. El C 201 tiene cuatro</t>
        </is>
      </c>
      <c r="C40" s="70" t="n">
        <v>4</v>
      </c>
      <c r="D40" s="71" t="n">
        <v>0</v>
      </c>
      <c r="E40" s="72">
        <f>C40*D40</f>
        <v/>
      </c>
      <c r="F40" s="98" t="inlineStr">
        <is>
          <t>-</t>
        </is>
      </c>
      <c r="G40" s="108" t="inlineStr">
        <is>
          <t>El C 201 tiene 4 bobinas en funcionamiento, confirmado con el dueño el 19/09/26. No hay que comprarlas ni montarlas: el sistema solo interviene la señal del lector óptico que las comanda.</t>
        </is>
      </c>
    </row>
    <row r="41" ht="252" customHeight="1" s="59">
      <c r="A41" s="68" t="inlineStr">
        <is>
          <t>Relé OptoMOS LCA110 de IXYS (DIP-6)</t>
        </is>
      </c>
      <c r="B41" s="125" t="inlineStr">
        <is>
          <t>Da la señal en lugar de cada lector óptico (conexión final), comandado directo desde un pin del ESP32</t>
        </is>
      </c>
      <c r="C41" s="70" t="n">
        <v>4</v>
      </c>
      <c r="D41" s="71" t="n">
        <v>6034</v>
      </c>
      <c r="E41" s="72">
        <f>C41*D41</f>
        <v/>
      </c>
      <c r="F41" s="98" t="inlineStr">
        <is>
          <t>-</t>
        </is>
      </c>
      <c r="G41" s="130" t="inlineStr">
        <is>
          <t>Uno por lector óptico: son 4, uno por bobina de selección, confirmado con el dueño el 19/09/26. Soporta 350 V y 120 mA, con salida MOSFET: funciona con continua o alterna y no tiene corriente mínima. Se elige en lugar de un SSR de triac porque el triac necesita 0,1 A para mantenerse encendido y la señal del lector maneja pocos miliamperes. IMPORTANTE: pedir la versión DIP de seis patas (inserción); la SOP-6 es de montaje superficial. Patas: 1 y 2 el LED de control, 4 y 6 la salida, 3 y 5 sin conectar. Alternativas con el mismo principio: AQY212GH, G3VM-61A1 (cada uno con su propia disposición de patas). Conexión final: el relé en lugar del lector, con una resistencia de protección (diagramas/hardware/conexion_final_rele.png). Comprar 1 y probarlo antes de los otros 3.</t>
        </is>
      </c>
    </row>
    <row r="42" ht="47" customHeight="1" s="59">
      <c r="A42" s="68" t="inlineStr">
        <is>
          <t>Borneras atornillables chicas</t>
        </is>
      </c>
      <c r="B42" s="125" t="inlineStr">
        <is>
          <t>Empalme al cableado del telar sin soldar sobre los cables viejos</t>
        </is>
      </c>
      <c r="C42" s="70" t="n">
        <v>6</v>
      </c>
      <c r="D42" s="109" t="n">
        <v>600</v>
      </c>
      <c r="E42" s="110">
        <f>C42*D42</f>
        <v/>
      </c>
      <c r="F42" s="98" t="inlineStr">
        <is>
          <t>Comprado en el local</t>
        </is>
      </c>
      <c r="G42" s="130" t="inlineStr">
        <is>
          <t>Para el conexionado de los cuatro canales dentro del gabinete, más repuestos. Las del conector de cada lector son las de 4 vías (abajo).</t>
        </is>
      </c>
    </row>
    <row r="43" ht="33.75" customHeight="1" s="59">
      <c r="A43" s="68" t="inlineStr">
        <is>
          <t>Cable para los 4 canales</t>
        </is>
      </c>
      <c r="B43" s="125" t="inlineStr">
        <is>
          <t>Conexión entre el gabinete y el conector de cada lector</t>
        </is>
      </c>
      <c r="C43" s="70" t="n">
        <v>8</v>
      </c>
      <c r="D43" s="71" t="n">
        <v>700</v>
      </c>
      <c r="E43" s="72">
        <f>C43*D43</f>
        <v/>
      </c>
      <c r="F43" s="98" t="inlineStr">
        <is>
          <t>-</t>
        </is>
      </c>
      <c r="G43" s="130" t="inlineStr">
        <is>
          <t>Se aprovecha el sobrante del cable del Bloque A. Cantidad a definir según el recorrido real.</t>
        </is>
      </c>
    </row>
    <row r="44" ht="42.75" customHeight="1" s="59">
      <c r="A44" s="68" t="inlineStr">
        <is>
          <t>Resistencia 10kΩ ¼W</t>
        </is>
      </c>
      <c r="B44" s="125" t="inlineStr">
        <is>
          <t>Polarización de las 4 salidas del ESP32 hacia los relés</t>
        </is>
      </c>
      <c r="C44" s="70" t="n">
        <v>4</v>
      </c>
      <c r="D44" s="71" t="n">
        <v>150</v>
      </c>
      <c r="E44" s="72">
        <f>C44*D44</f>
        <v/>
      </c>
      <c r="F44" s="98" t="inlineStr">
        <is>
          <t>Comprado en el local</t>
        </is>
      </c>
      <c r="G44" s="74" t="inlineStr">
        <is>
          <t>Una por canal: polarizan las 4 salidas del ESP32 para el arranque seguro.</t>
        </is>
      </c>
    </row>
    <row r="45" ht="61.75" customHeight="1" s="59">
      <c r="A45" s="68" t="inlineStr">
        <is>
          <t>Resistencia 330 Ω ¼ W</t>
        </is>
      </c>
      <c r="B45" s="125" t="inlineStr">
        <is>
          <t>Limita la corriente del LED de entrada de cada relé LCA110</t>
        </is>
      </c>
      <c r="C45" s="70" t="n">
        <v>4</v>
      </c>
      <c r="D45" s="71" t="n">
        <v>150</v>
      </c>
      <c r="E45" s="110">
        <f>C45*D45</f>
        <v/>
      </c>
      <c r="F45" s="98" t="inlineStr">
        <is>
          <t>Comprado en el local</t>
        </is>
      </c>
      <c r="G45" s="130" t="inlineStr">
        <is>
          <t>Una por canal. Con los 3,3 V del ESP32 entrega unos 6 mA. NO es opcional: sin ella se daña el LED del relé. El SSR de triac no la necesita porque la trae incorporada.</t>
        </is>
      </c>
    </row>
    <row r="46" ht="61.75" customHeight="1" s="59">
      <c r="A46" s="68" t="inlineStr">
        <is>
          <t>Placa para la plaqueta del Nivel 2</t>
        </is>
      </c>
      <c r="B46" s="125" t="inlineStr">
        <is>
          <t>La plaqueta impresa del Nivel 2 (sensor de pasada y los 4 relés LCA110), diseñada en Proteus</t>
        </is>
      </c>
      <c r="C46" s="70" t="n">
        <v>1</v>
      </c>
      <c r="D46" s="71" t="n">
        <v>3000</v>
      </c>
      <c r="E46" s="72">
        <f>C46*D46</f>
        <v/>
      </c>
      <c r="F46" s="98" t="inlineStr">
        <is>
          <t>-</t>
        </is>
      </c>
      <c r="G46" s="74" t="inlineStr">
        <is>
          <t>Se suma el 10/10/2026, con todo probado en protoboard. Ya está soldada (20/10/2026) e instalada en el gabinete (30/10/2026). Precio estimado (local, octubre de 2026).</t>
        </is>
      </c>
    </row>
    <row r="47" ht="33.75" customHeight="1" s="59">
      <c r="A47" s="68" t="inlineStr">
        <is>
          <t>Tira de pines de 2 (2x)</t>
        </is>
      </c>
      <c r="B47" s="125" t="inlineStr">
        <is>
          <t>Conectores enchufables para los cables y módulos de la plaqueta</t>
        </is>
      </c>
      <c r="C47" s="70" t="n">
        <v>19</v>
      </c>
      <c r="D47" s="71" t="n">
        <v>100</v>
      </c>
      <c r="E47" s="72">
        <f>C47*D47</f>
        <v/>
      </c>
      <c r="F47" s="98" t="inlineStr">
        <is>
          <t>-</t>
        </is>
      </c>
      <c r="G47" s="74" t="inlineStr">
        <is>
          <t>Se suma el 10/10/2026. Permiten sacar módulos y cables sin desoldar. Precio estimado (local, octubre de 2026).</t>
        </is>
      </c>
    </row>
    <row r="48" ht="33.75" customHeight="1" s="59">
      <c r="A48" s="68" t="inlineStr">
        <is>
          <t>Tira de pines de 5 (5x)</t>
        </is>
      </c>
      <c r="B48" s="125" t="inlineStr">
        <is>
          <t>Conectores enchufables para los cables y módulos de la plaqueta</t>
        </is>
      </c>
      <c r="C48" s="70" t="n">
        <v>6</v>
      </c>
      <c r="D48" s="71" t="n">
        <v>200</v>
      </c>
      <c r="E48" s="72">
        <f>C48*D48</f>
        <v/>
      </c>
      <c r="F48" s="98" t="inlineStr">
        <is>
          <t>-</t>
        </is>
      </c>
      <c r="G48" s="74" t="inlineStr">
        <is>
          <t>Se suma el 10/10/2026. Precio estimado (local, octubre de 2026).</t>
        </is>
      </c>
    </row>
    <row r="49" ht="33.75" customHeight="1" s="59">
      <c r="A49" s="68" t="inlineStr">
        <is>
          <t>Tira de pines de 6 (6x)</t>
        </is>
      </c>
      <c r="B49" s="125" t="inlineStr">
        <is>
          <t>Conectores enchufables para los cables y módulos de la plaqueta</t>
        </is>
      </c>
      <c r="C49" s="70" t="n">
        <v>4</v>
      </c>
      <c r="D49" s="71" t="n">
        <v>250</v>
      </c>
      <c r="E49" s="72">
        <f>C49*D49</f>
        <v/>
      </c>
      <c r="F49" s="98" t="inlineStr">
        <is>
          <t>-</t>
        </is>
      </c>
      <c r="G49" s="74" t="inlineStr">
        <is>
          <t>Se suma el 10/10/2026. Precio estimado (local, octubre de 2026).</t>
        </is>
      </c>
    </row>
    <row r="50" ht="33.75" customHeight="1" s="59">
      <c r="A50" s="68" t="inlineStr">
        <is>
          <t>Tira de pines de 8 (8x)</t>
        </is>
      </c>
      <c r="B50" s="125" t="inlineStr">
        <is>
          <t>Conectores enchufables para los cables y módulos de la plaqueta</t>
        </is>
      </c>
      <c r="C50" s="70" t="n">
        <v>2</v>
      </c>
      <c r="D50" s="71" t="n">
        <v>300</v>
      </c>
      <c r="E50" s="72">
        <f>C50*D50</f>
        <v/>
      </c>
      <c r="F50" s="98" t="inlineStr">
        <is>
          <t>-</t>
        </is>
      </c>
      <c r="G50" s="74" t="inlineStr">
        <is>
          <t>Se suma el 10/10/2026. Precio estimado (local, octubre de 2026).</t>
        </is>
      </c>
    </row>
    <row r="51" ht="45" customHeight="1" s="59">
      <c r="A51" s="68" t="inlineStr">
        <is>
          <t>Zócalo DIP de 6 patas</t>
        </is>
      </c>
      <c r="B51" s="125" t="inlineStr">
        <is>
          <t>Permite cambiar un relé LCA110 sin desoldar</t>
        </is>
      </c>
      <c r="C51" s="70" t="n">
        <v>4</v>
      </c>
      <c r="D51" s="71" t="n">
        <v>300</v>
      </c>
      <c r="E51" s="72">
        <f>C51*D51</f>
        <v/>
      </c>
      <c r="F51" s="98" t="inlineStr">
        <is>
          <t>-</t>
        </is>
      </c>
      <c r="G51" s="74" t="inlineStr">
        <is>
          <t>Se suma el 11/10/2026: el relé va enchufado en el zócalo, con la muesca del lado de la pata 1. Precio estimado (local, octubre de 2026).</t>
        </is>
      </c>
    </row>
    <row r="52" ht="91" customHeight="1" s="59">
      <c r="A52" s="68" t="inlineStr">
        <is>
          <t>Resistencia de protección 470 Ω 3 W</t>
        </is>
      </c>
      <c r="B52" s="125" t="inlineStr">
        <is>
          <t>Lado del telar: limita la corriente si hay un error de cableado. Va del + del conector del lector a la pata 4 del relé</t>
        </is>
      </c>
      <c r="C52" s="70" t="n">
        <v>4</v>
      </c>
      <c r="D52" s="71" t="n">
        <v>400</v>
      </c>
      <c r="E52" s="72">
        <f>C52*D52</f>
        <v/>
      </c>
      <c r="F52" s="98" t="inlineStr">
        <is>
          <t>-</t>
        </is>
      </c>
      <c r="G52" s="74" t="inlineStr">
        <is>
          <t>Se suma el 11/10/2026 con la conexión final (la más segura). 220 Ω 2 W si el lector se alimenta con hasta 15 V; 470 Ω 3 W de 15 a 30 V: se elige con la medición. En el C 201 dio entre 15 y 30 V (17/10/2026): van las de 470 Ω 3 W. Precio estimado (local, octubre de 2026).</t>
        </is>
      </c>
    </row>
    <row r="53" ht="45" customHeight="1" s="59">
      <c r="A53" s="68" t="inlineStr">
        <is>
          <t>Resistencia 10 kΩ ½ W</t>
        </is>
      </c>
      <c r="B53" s="125" t="inlineStr">
        <is>
          <t>Lado del telar: de la señal al − de cada conector de lector. Con el relé abierto deja la señal en 0 V, como con papel</t>
        </is>
      </c>
      <c r="C53" s="70" t="n">
        <v>4</v>
      </c>
      <c r="D53" s="71" t="n">
        <v>200</v>
      </c>
      <c r="E53" s="72">
        <f>C53*D53</f>
        <v/>
      </c>
      <c r="F53" s="98" t="inlineStr">
        <is>
          <t>-</t>
        </is>
      </c>
      <c r="G53" s="74" t="inlineStr">
        <is>
          <t>Se suma el 11/10/2026 con la conexión final. Una por canal. Precio estimado (local, octubre de 2026).</t>
        </is>
      </c>
    </row>
    <row r="54" ht="76.25" customHeight="1" s="59">
      <c r="A54" s="68" t="inlineStr">
        <is>
          <t>Borneras de 4 vías</t>
        </is>
      </c>
      <c r="B54" s="125" t="inlineStr">
        <is>
          <t>Conector de cada lector en la plaqueta del telar, y para dejar aislados los cables del lector</t>
        </is>
      </c>
      <c r="C54" s="70" t="n">
        <v>8</v>
      </c>
      <c r="D54" s="71" t="n">
        <v>1200</v>
      </c>
      <c r="E54" s="72">
        <f>C54*D54</f>
        <v/>
      </c>
      <c r="F54" s="98" t="inlineStr">
        <is>
          <t>-</t>
        </is>
      </c>
      <c r="G54" s="74" t="inlineStr">
        <is>
          <t>Se suma el 11/10/2026 con la conexión final. Por canal: una para el conector del lector y otra para dejar aislados y rotulados sus 4 cables, que se vuelven a conectar en minutos. Precio estimado (local, octubre de 2026).</t>
        </is>
      </c>
    </row>
    <row r="55" ht="18" customHeight="1" s="59">
      <c r="A55" s="111" t="n"/>
      <c r="B55" s="112" t="inlineStr">
        <is>
          <t>Subtotal bloque</t>
        </is>
      </c>
      <c r="C55" s="87" t="n"/>
      <c r="D55" s="88" t="n"/>
      <c r="E55" s="113">
        <f>SUM(E40:E54)</f>
        <v/>
      </c>
      <c r="F55" s="114" t="n"/>
      <c r="G55" s="115" t="n"/>
    </row>
    <row r="56" ht="15.75" customHeight="1" s="59"/>
    <row r="57" ht="24" customHeight="1" s="59">
      <c r="A57" s="116" t="inlineStr">
        <is>
          <t>TOTAL DEL PROYECTO COMPLETO (A + C + D)</t>
        </is>
      </c>
      <c r="B57" s="117" t="n"/>
      <c r="C57" s="118" t="n"/>
      <c r="D57" s="118" t="n"/>
      <c r="E57" s="119">
        <f>E26+E36+E55</f>
        <v/>
      </c>
      <c r="F57" s="120" t="n"/>
      <c r="G57" s="121" t="n"/>
    </row>
    <row r="58" ht="15.75" customHeight="1" s="59"/>
    <row r="59" ht="21.75" customHeight="1" s="59">
      <c r="A59" s="122" t="inlineStr">
        <is>
          <t>• ORDEN DE COMPRA: (1) Bloque A: comprado e instalado en el telar (19/09/2026). (2) Medición de la alimentación y la señal de un lector óptico: hecha el 17/10/2026, entre 15 y 30 V (la velocidad ya está confirmada: 300 pasadas por minuto). (3) Recién entonces el Bloque D, con la conexión final: el relé en lugar del lector, con una resistencia de protección que se elige con esa medición. Estado al 30/10/2026: todo comprado e instalado. El gabinete, con las plaquetas soldadas y la plaqueta del ESP32 (sumada el 25/10/2026), se probó completo en el telar el 30/10/2026 (Niveles 1 y 2, los cuatro canales) y funcionó. Los precios marcados como estimados se confirman con los comprobantes.</t>
        </is>
      </c>
    </row>
    <row r="60" ht="15.75" customHeight="1" s="59"/>
    <row r="61" ht="15" customHeight="1" s="59"/>
    <row r="62" ht="15" customHeight="1" s="59"/>
    <row r="63" ht="15" customHeight="1" s="59"/>
    <row r="64" ht="15" customHeight="1" s="59"/>
    <row r="65" ht="15" customHeight="1" s="59"/>
    <row r="66" ht="15" customHeight="1" s="59"/>
    <row r="67" ht="15" customHeight="1" s="59"/>
    <row r="68" ht="15" customHeight="1" s="59"/>
    <row r="69" ht="15" customHeight="1" s="59"/>
    <row r="70" ht="15" customHeight="1" s="59"/>
    <row r="71" ht="15.75" customHeight="1" s="59"/>
    <row r="72" ht="15.75" customHeight="1" s="59"/>
    <row r="73" ht="15.75" customHeight="1" s="59"/>
    <row r="74" ht="15.75" customHeight="1" s="59"/>
    <row r="75" ht="15.75" customHeight="1" s="59"/>
    <row r="76" ht="15.75" customHeight="1" s="59"/>
    <row r="77" ht="15.75" customHeight="1" s="59"/>
    <row r="78" ht="15.75" customHeight="1" s="59"/>
    <row r="79" ht="15.75" customHeight="1" s="59"/>
    <row r="80" ht="15.75" customHeight="1" s="59"/>
    <row r="81" ht="15.75" customHeight="1" s="59"/>
    <row r="82" ht="15.75" customHeight="1" s="59"/>
    <row r="83" ht="15.75" customHeight="1" s="59"/>
    <row r="84" ht="15.75" customHeight="1" s="59"/>
    <row r="85" ht="15.75" customHeight="1" s="59"/>
    <row r="86" ht="15.75" customHeight="1" s="59"/>
    <row r="87" ht="15.75" customHeight="1" s="59"/>
    <row r="88" ht="15.75" customHeight="1" s="59"/>
    <row r="89" ht="15.75" customHeight="1" s="59"/>
    <row r="90" ht="15.75" customHeight="1" s="59"/>
    <row r="91" ht="15.75" customHeight="1" s="59"/>
    <row r="92" ht="15.75" customHeight="1" s="59"/>
    <row r="93" ht="15.75" customHeight="1" s="59"/>
    <row r="94" ht="15.75" customHeight="1" s="59"/>
    <row r="95" ht="15.75" customHeight="1" s="59"/>
    <row r="96" ht="15.75" customHeight="1" s="59"/>
    <row r="97" ht="15.75" customHeight="1" s="59"/>
    <row r="98" ht="15.75" customHeight="1" s="59"/>
    <row r="99" ht="15.75" customHeight="1" s="59"/>
    <row r="100" ht="15.75" customHeight="1" s="59"/>
    <row r="101" ht="15.75" customHeight="1" s="59"/>
    <row r="102" ht="15.75" customHeight="1" s="59"/>
    <row r="103" ht="15.75" customHeight="1" s="59"/>
    <row r="104" ht="15.75" customHeight="1" s="59"/>
    <row r="105" ht="15.75" customHeight="1" s="59"/>
    <row r="106" ht="15.75" customHeight="1" s="59"/>
    <row r="107" ht="15.75" customHeight="1" s="59"/>
    <row r="108" ht="15.75" customHeight="1" s="59"/>
    <row r="109" ht="15.75" customHeight="1" s="59"/>
    <row r="110" ht="15.75" customHeight="1" s="59"/>
    <row r="111" ht="15.75" customHeight="1" s="59"/>
    <row r="112" ht="15.75" customHeight="1" s="59"/>
    <row r="113" ht="15.75" customHeight="1" s="59"/>
    <row r="114" ht="15.75" customHeight="1" s="59"/>
    <row r="115" ht="15.75" customHeight="1" s="59"/>
    <row r="116" ht="15.75" customHeight="1" s="59"/>
    <row r="117" ht="15.75" customHeight="1" s="59"/>
    <row r="118" ht="15.75" customHeight="1" s="59"/>
    <row r="119" ht="15.75" customHeight="1" s="59"/>
    <row r="120" ht="15.75" customHeight="1" s="59"/>
    <row r="121" ht="15.75" customHeight="1" s="59"/>
    <row r="122" ht="15.75" customHeight="1" s="59"/>
    <row r="123" ht="15.75" customHeight="1" s="59"/>
    <row r="124" ht="15.75" customHeight="1" s="59"/>
    <row r="125" ht="15.75" customHeight="1" s="59"/>
    <row r="126" ht="15.75" customHeight="1" s="59"/>
    <row r="127" ht="15.75" customHeight="1" s="59"/>
    <row r="128" ht="15.75" customHeight="1" s="59"/>
    <row r="129" ht="15.75" customHeight="1" s="59"/>
    <row r="130" ht="15.75" customHeight="1" s="59"/>
    <row r="131" ht="15.75" customHeight="1" s="59"/>
    <row r="132" ht="15.75" customHeight="1" s="59"/>
    <row r="133" ht="15.75" customHeight="1" s="59"/>
    <row r="134" ht="15.75" customHeight="1" s="59"/>
    <row r="135" ht="15.75" customHeight="1" s="59"/>
    <row r="136" ht="15.75" customHeight="1" s="59"/>
    <row r="137" ht="15.75" customHeight="1" s="59"/>
    <row r="138" ht="15.75" customHeight="1" s="59"/>
    <row r="139" ht="15.75" customHeight="1" s="59"/>
    <row r="140" ht="15.75" customHeight="1" s="59"/>
    <row r="141" ht="15.75" customHeight="1" s="59"/>
    <row r="142" ht="15.75" customHeight="1" s="59"/>
    <row r="143" ht="15.75" customHeight="1" s="59"/>
    <row r="144" ht="15.75" customHeight="1" s="59"/>
    <row r="145" ht="15.75" customHeight="1" s="59"/>
    <row r="146" ht="15.75" customHeight="1" s="59"/>
    <row r="147" ht="15.75" customHeight="1" s="59"/>
    <row r="148" ht="15.75" customHeight="1" s="59"/>
    <row r="149" ht="15.75" customHeight="1" s="59"/>
    <row r="150" ht="15.75" customHeight="1" s="59"/>
    <row r="151" ht="15.75" customHeight="1" s="59"/>
    <row r="152" ht="15.75" customHeight="1" s="59"/>
    <row r="153" ht="15.75" customHeight="1" s="59"/>
    <row r="154" ht="15.75" customHeight="1" s="59"/>
    <row r="155" ht="15.75" customHeight="1" s="59"/>
    <row r="156" ht="15.75" customHeight="1" s="59"/>
    <row r="157" ht="15.75" customHeight="1" s="59"/>
    <row r="158" ht="15.75" customHeight="1" s="59"/>
    <row r="159" ht="15.75" customHeight="1" s="59"/>
    <row r="160" ht="15.75" customHeight="1" s="59"/>
    <row r="161" ht="15.75" customHeight="1" s="59"/>
    <row r="162" ht="15.75" customHeight="1" s="59"/>
    <row r="163" ht="15.75" customHeight="1" s="59"/>
    <row r="164" ht="15.75" customHeight="1" s="59"/>
    <row r="165" ht="15.75" customHeight="1" s="59"/>
    <row r="166" ht="15.75" customHeight="1" s="59"/>
    <row r="167" ht="15.75" customHeight="1" s="59"/>
    <row r="168" ht="15.75" customHeight="1" s="59"/>
    <row r="169" ht="15.75" customHeight="1" s="59"/>
    <row r="170" ht="15.75" customHeight="1" s="59"/>
    <row r="171" ht="15.75" customHeight="1" s="59"/>
    <row r="172" ht="15.75" customHeight="1" s="59"/>
    <row r="173" ht="15.75" customHeight="1" s="59"/>
    <row r="174" ht="15.75" customHeight="1" s="59"/>
    <row r="175" ht="15.75" customHeight="1" s="59"/>
    <row r="176" ht="15.75" customHeight="1" s="59"/>
    <row r="177" ht="15.75" customHeight="1" s="59"/>
    <row r="178" ht="15.75" customHeight="1" s="59"/>
    <row r="179" ht="15.75" customHeight="1" s="59"/>
    <row r="180" ht="15.75" customHeight="1" s="59"/>
    <row r="181" ht="15.75" customHeight="1" s="59"/>
    <row r="182" ht="15.75" customHeight="1" s="59"/>
    <row r="183" ht="15.75" customHeight="1" s="59"/>
    <row r="184" ht="15.75" customHeight="1" s="59"/>
    <row r="185" ht="15.75" customHeight="1" s="59"/>
    <row r="186" ht="15.75" customHeight="1" s="59"/>
    <row r="187" ht="15.75" customHeight="1" s="59"/>
    <row r="188" ht="15.75" customHeight="1" s="59"/>
    <row r="189" ht="15.75" customHeight="1" s="59"/>
    <row r="190" ht="15.75" customHeight="1" s="59"/>
    <row r="191" ht="15.75" customHeight="1" s="59"/>
    <row r="192" ht="15.75" customHeight="1" s="59"/>
    <row r="193" ht="15.75" customHeight="1" s="59"/>
    <row r="194" ht="15.75" customHeight="1" s="59"/>
    <row r="195" ht="15.75" customHeight="1" s="59"/>
    <row r="196" ht="15.75" customHeight="1" s="59"/>
    <row r="197" ht="15.75" customHeight="1" s="59"/>
    <row r="198" ht="15.75" customHeight="1" s="59"/>
    <row r="199" ht="15.75" customHeight="1" s="59"/>
    <row r="200" ht="15.75" customHeight="1" s="59"/>
    <row r="201" ht="15.75" customHeight="1" s="59"/>
    <row r="202" ht="15.75" customHeight="1" s="59"/>
    <row r="203" ht="15.75" customHeight="1" s="59"/>
    <row r="204" ht="15.75" customHeight="1" s="59"/>
    <row r="205" ht="15.75" customHeight="1" s="59"/>
    <row r="206" ht="15.75" customHeight="1" s="59"/>
    <row r="207" ht="15.75" customHeight="1" s="59"/>
    <row r="208" ht="15.75" customHeight="1" s="59"/>
    <row r="209" ht="15.75" customHeight="1" s="59"/>
    <row r="210" ht="15.75" customHeight="1" s="59"/>
    <row r="211" ht="15.75" customHeight="1" s="59"/>
    <row r="212" ht="15.75" customHeight="1" s="59"/>
    <row r="213" ht="15.75" customHeight="1" s="59"/>
    <row r="214" ht="15.75" customHeight="1" s="59"/>
    <row r="215" ht="15.75" customHeight="1" s="59"/>
    <row r="216" ht="15.75" customHeight="1" s="59"/>
    <row r="217" ht="15.75" customHeight="1" s="59"/>
    <row r="218" ht="15.75" customHeight="1" s="59"/>
    <row r="219" ht="15.75" customHeight="1" s="59"/>
    <row r="220" ht="15.75" customHeight="1" s="59"/>
    <row r="221" ht="15.75" customHeight="1" s="59"/>
    <row r="222" ht="15.75" customHeight="1" s="59"/>
    <row r="223" ht="15.75" customHeight="1" s="59"/>
    <row r="224" ht="15.75" customHeight="1" s="59"/>
    <row r="225" ht="15.75" customHeight="1" s="59"/>
    <row r="226" ht="15.75" customHeight="1" s="59"/>
    <row r="227" ht="15.75" customHeight="1" s="59"/>
    <row r="228" ht="15.75" customHeight="1" s="59"/>
    <row r="229" ht="15.75" customHeight="1" s="59"/>
    <row r="230" ht="15.75" customHeight="1" s="59"/>
    <row r="231" ht="15.75" customHeight="1" s="59"/>
    <row r="232" ht="15.75" customHeight="1" s="59"/>
    <row r="233" ht="15.75" customHeight="1" s="59"/>
    <row r="234" ht="15.75" customHeight="1" s="59"/>
    <row r="235" ht="15.75" customHeight="1" s="59"/>
    <row r="236" ht="15.75" customHeight="1" s="59"/>
    <row r="237" ht="15.75" customHeight="1" s="59"/>
    <row r="238" ht="15.75" customHeight="1" s="59"/>
    <row r="239" ht="15.75" customHeight="1" s="59"/>
    <row r="240" ht="15.75" customHeight="1" s="59"/>
    <row r="241" ht="15.75" customHeight="1" s="59"/>
    <row r="242" ht="15.75" customHeight="1" s="59"/>
    <row r="243" ht="15.75" customHeight="1" s="59"/>
    <row r="244" ht="15.75" customHeight="1" s="59"/>
    <row r="245" ht="15.75" customHeight="1" s="59"/>
    <row r="246" ht="15.75" customHeight="1" s="59"/>
    <row r="247" ht="15.75" customHeight="1" s="59"/>
    <row r="248" ht="15.75" customHeight="1" s="59"/>
    <row r="249" ht="15.75" customHeight="1" s="59"/>
    <row r="250" ht="15.75" customHeight="1" s="59"/>
    <row r="251" ht="15.75" customHeight="1" s="59"/>
    <row r="252" ht="15.75" customHeight="1" s="59"/>
    <row r="253" ht="15.75" customHeight="1" s="59"/>
    <row r="254" ht="15.75" customHeight="1" s="59"/>
    <row r="255" ht="15.75" customHeight="1" s="59"/>
    <row r="256" ht="15.75" customHeight="1" s="59"/>
    <row r="257" ht="15.75" customHeight="1" s="59"/>
    <row r="258" ht="15.75" customHeight="1" s="59"/>
    <row r="259" ht="15.75" customHeight="1" s="59"/>
    <row r="260" ht="15.75" customHeight="1" s="59"/>
    <row r="261" ht="15.75" customHeight="1" s="59"/>
    <row r="262" ht="15.75" customHeight="1" s="59"/>
    <row r="263" ht="15.75" customHeight="1" s="59"/>
    <row r="264" ht="15.75" customHeight="1" s="59"/>
    <row r="265" ht="15.75" customHeight="1" s="59"/>
    <row r="266" ht="15.75" customHeight="1" s="59"/>
    <row r="267" ht="15.75" customHeight="1" s="59"/>
    <row r="268" ht="15.75" customHeight="1" s="59"/>
    <row r="269" ht="15.75" customHeight="1" s="59"/>
    <row r="270" ht="15.75" customHeight="1" s="59"/>
    <row r="271" ht="15.75" customHeight="1" s="59"/>
    <row r="272" ht="15.75" customHeight="1" s="59"/>
    <row r="273" ht="15.75" customHeight="1" s="59"/>
    <row r="274" ht="15.75" customHeight="1" s="59"/>
    <row r="275" ht="15.75" customHeight="1" s="59"/>
    <row r="276" ht="15.75" customHeight="1" s="59"/>
    <row r="277" ht="15.75" customHeight="1" s="59"/>
    <row r="278" ht="15.75" customHeight="1" s="59"/>
    <row r="279" ht="15.75" customHeight="1" s="59"/>
    <row r="280" ht="15.75" customHeight="1" s="59"/>
    <row r="281" ht="15.75" customHeight="1" s="59"/>
    <row r="282" ht="15.75" customHeight="1" s="59"/>
    <row r="283" ht="15.75" customHeight="1" s="59"/>
    <row r="284" ht="15.75" customHeight="1" s="59"/>
    <row r="285" ht="15.75" customHeight="1" s="59"/>
    <row r="286" ht="15.75" customHeight="1" s="59"/>
    <row r="287" ht="15.75" customHeight="1" s="59"/>
    <row r="288" ht="15.75" customHeight="1" s="59"/>
    <row r="289" ht="15.75" customHeight="1" s="59"/>
    <row r="290" ht="15.75" customHeight="1" s="59"/>
    <row r="291" ht="15.75" customHeight="1" s="59"/>
    <row r="292" ht="15.75" customHeight="1" s="59"/>
    <row r="293" ht="15.75" customHeight="1" s="59"/>
    <row r="294" ht="15.75" customHeight="1" s="59"/>
    <row r="295" ht="15.75" customHeight="1" s="59"/>
    <row r="296" ht="15.75" customHeight="1" s="59"/>
    <row r="297" ht="15.75" customHeight="1" s="59"/>
    <row r="298" ht="15.75" customHeight="1" s="59"/>
    <row r="299" ht="15.75" customHeight="1" s="59"/>
    <row r="300" ht="15.75" customHeight="1" s="59"/>
    <row r="301" ht="15.75" customHeight="1" s="59"/>
    <row r="302" ht="15.75" customHeight="1" s="59"/>
    <row r="303" ht="15.75" customHeight="1" s="59"/>
    <row r="304" ht="15.75" customHeight="1" s="59"/>
    <row r="305" ht="15.75" customHeight="1" s="59"/>
    <row r="306" ht="15.75" customHeight="1" s="59"/>
    <row r="307" ht="15.75" customHeight="1" s="59"/>
    <row r="308" ht="15.75" customHeight="1" s="59"/>
    <row r="309" ht="15.75" customHeight="1" s="59"/>
    <row r="310" ht="15.75" customHeight="1" s="59"/>
    <row r="311" ht="15.75" customHeight="1" s="59"/>
    <row r="312" ht="15.75" customHeight="1" s="59"/>
    <row r="313" ht="15.75" customHeight="1" s="59"/>
    <row r="314" ht="15.75" customHeight="1" s="59"/>
    <row r="315" ht="15.75" customHeight="1" s="59"/>
    <row r="316" ht="15.75" customHeight="1" s="59"/>
    <row r="317" ht="15.75" customHeight="1" s="59"/>
    <row r="318" ht="15.75" customHeight="1" s="59"/>
    <row r="319" ht="15.75" customHeight="1" s="59"/>
    <row r="320" ht="15.75" customHeight="1" s="59"/>
    <row r="321" ht="15.75" customHeight="1" s="59"/>
    <row r="322" ht="15.75" customHeight="1" s="59"/>
    <row r="323" ht="15.75" customHeight="1" s="59"/>
    <row r="324" ht="15.75" customHeight="1" s="59"/>
    <row r="325" ht="15.75" customHeight="1" s="59"/>
    <row r="326" ht="15.75" customHeight="1" s="59"/>
    <row r="327" ht="15.75" customHeight="1" s="59"/>
    <row r="328" ht="15.75" customHeight="1" s="59"/>
    <row r="329" ht="15.75" customHeight="1" s="59"/>
    <row r="330" ht="15.75" customHeight="1" s="59"/>
    <row r="331" ht="15.75" customHeight="1" s="59"/>
    <row r="332" ht="15.75" customHeight="1" s="59"/>
    <row r="333" ht="15.75" customHeight="1" s="59"/>
    <row r="334" ht="15.75" customHeight="1" s="59"/>
    <row r="335" ht="15.75" customHeight="1" s="59"/>
    <row r="336" ht="15.75" customHeight="1" s="59"/>
    <row r="337" ht="15.75" customHeight="1" s="59"/>
    <row r="338" ht="15.75" customHeight="1" s="59"/>
    <row r="339" ht="15.75" customHeight="1" s="59"/>
    <row r="340" ht="15.75" customHeight="1" s="59"/>
    <row r="341" ht="15.75" customHeight="1" s="59"/>
    <row r="342" ht="15.75" customHeight="1" s="59"/>
    <row r="343" ht="15.75" customHeight="1" s="59"/>
    <row r="344" ht="15.75" customHeight="1" s="59"/>
    <row r="345" ht="15.75" customHeight="1" s="59"/>
    <row r="346" ht="15.75" customHeight="1" s="59"/>
    <row r="347" ht="15.75" customHeight="1" s="59"/>
    <row r="348" ht="15.75" customHeight="1" s="59"/>
    <row r="349" ht="15.75" customHeight="1" s="59"/>
    <row r="350" ht="15.75" customHeight="1" s="59"/>
    <row r="351" ht="15.75" customHeight="1" s="59"/>
    <row r="352" ht="15.75" customHeight="1" s="59"/>
    <row r="353" ht="15.75" customHeight="1" s="59"/>
    <row r="354" ht="15.75" customHeight="1" s="59"/>
    <row r="355" ht="15.75" customHeight="1" s="59"/>
    <row r="356" ht="15.75" customHeight="1" s="59"/>
    <row r="357" ht="15.75" customHeight="1" s="59"/>
    <row r="358" ht="15.75" customHeight="1" s="59"/>
    <row r="359" ht="15.75" customHeight="1" s="59"/>
    <row r="360" ht="15.75" customHeight="1" s="59"/>
    <row r="361" ht="15.75" customHeight="1" s="59"/>
    <row r="362" ht="15.75" customHeight="1" s="59"/>
    <row r="363" ht="15.75" customHeight="1" s="59"/>
    <row r="364" ht="15.75" customHeight="1" s="59"/>
    <row r="365" ht="15.75" customHeight="1" s="59"/>
    <row r="366" ht="15.75" customHeight="1" s="59"/>
    <row r="367" ht="15.75" customHeight="1" s="59"/>
    <row r="368" ht="15.75" customHeight="1" s="59"/>
    <row r="369" ht="15.75" customHeight="1" s="59"/>
    <row r="370" ht="15.75" customHeight="1" s="59"/>
    <row r="371" ht="15.75" customHeight="1" s="59"/>
    <row r="372" ht="15.75" customHeight="1" s="59"/>
    <row r="373" ht="15.75" customHeight="1" s="59"/>
    <row r="374" ht="15.75" customHeight="1" s="59"/>
    <row r="375" ht="15.75" customHeight="1" s="59"/>
    <row r="376" ht="15.75" customHeight="1" s="59"/>
    <row r="377" ht="15.75" customHeight="1" s="59"/>
    <row r="378" ht="15.75" customHeight="1" s="59"/>
    <row r="379" ht="15.75" customHeight="1" s="59"/>
    <row r="380" ht="15.75" customHeight="1" s="59"/>
    <row r="381" ht="15.75" customHeight="1" s="59"/>
    <row r="382" ht="15.75" customHeight="1" s="59"/>
    <row r="383" ht="15.75" customHeight="1" s="59"/>
    <row r="384" ht="15.75" customHeight="1" s="59"/>
    <row r="385" ht="15.75" customHeight="1" s="59"/>
    <row r="386" ht="15.75" customHeight="1" s="59"/>
    <row r="387" ht="15.75" customHeight="1" s="59"/>
    <row r="388" ht="15.75" customHeight="1" s="59"/>
    <row r="389" ht="15.75" customHeight="1" s="59"/>
    <row r="390" ht="15.75" customHeight="1" s="59"/>
    <row r="391" ht="15.75" customHeight="1" s="59"/>
    <row r="392" ht="15.75" customHeight="1" s="59"/>
    <row r="393" ht="15.75" customHeight="1" s="59"/>
    <row r="394" ht="15.75" customHeight="1" s="59"/>
    <row r="395" ht="15.75" customHeight="1" s="59"/>
    <row r="396" ht="15.75" customHeight="1" s="59"/>
    <row r="397" ht="15.75" customHeight="1" s="59"/>
    <row r="398" ht="15.75" customHeight="1" s="59"/>
    <row r="399" ht="15.75" customHeight="1" s="59"/>
    <row r="400" ht="15.75" customHeight="1" s="59"/>
    <row r="401" ht="15.75" customHeight="1" s="59"/>
    <row r="402" ht="15.75" customHeight="1" s="59"/>
    <row r="403" ht="15.75" customHeight="1" s="59"/>
    <row r="404" ht="15.75" customHeight="1" s="59"/>
    <row r="405" ht="15.75" customHeight="1" s="59"/>
    <row r="406" ht="15.75" customHeight="1" s="59"/>
    <row r="407" ht="15.75" customHeight="1" s="59"/>
    <row r="408" ht="15.75" customHeight="1" s="59"/>
    <row r="409" ht="15.75" customHeight="1" s="59"/>
    <row r="410" ht="15.75" customHeight="1" s="59"/>
    <row r="411" ht="15.75" customHeight="1" s="59"/>
    <row r="412" ht="15.75" customHeight="1" s="59"/>
    <row r="413" ht="15.75" customHeight="1" s="59"/>
    <row r="414" ht="15.75" customHeight="1" s="59"/>
    <row r="415" ht="15.75" customHeight="1" s="59"/>
    <row r="416" ht="15.75" customHeight="1" s="59"/>
    <row r="417" ht="15.75" customHeight="1" s="59"/>
    <row r="418" ht="15.75" customHeight="1" s="59"/>
    <row r="419" ht="15.75" customHeight="1" s="59"/>
    <row r="420" ht="15.75" customHeight="1" s="59"/>
    <row r="421" ht="15.75" customHeight="1" s="59"/>
    <row r="422" ht="15.75" customHeight="1" s="59"/>
    <row r="423" ht="15.75" customHeight="1" s="59"/>
    <row r="424" ht="15.75" customHeight="1" s="59"/>
    <row r="425" ht="15.75" customHeight="1" s="59"/>
    <row r="426" ht="15.75" customHeight="1" s="59"/>
    <row r="427" ht="15.75" customHeight="1" s="59"/>
    <row r="428" ht="15.75" customHeight="1" s="59"/>
    <row r="429" ht="15.75" customHeight="1" s="59"/>
    <row r="430" ht="15.75" customHeight="1" s="59"/>
    <row r="431" ht="15.75" customHeight="1" s="59"/>
    <row r="432" ht="15.75" customHeight="1" s="59"/>
    <row r="433" ht="15.75" customHeight="1" s="59"/>
    <row r="434" ht="15.75" customHeight="1" s="59"/>
    <row r="435" ht="15.75" customHeight="1" s="59"/>
    <row r="436" ht="15.75" customHeight="1" s="59"/>
    <row r="437" ht="15.75" customHeight="1" s="59"/>
    <row r="438" ht="15.75" customHeight="1" s="59"/>
    <row r="439" ht="15.75" customHeight="1" s="59"/>
    <row r="440" ht="15.75" customHeight="1" s="59"/>
    <row r="441" ht="15.75" customHeight="1" s="59"/>
    <row r="442" ht="15.75" customHeight="1" s="59"/>
    <row r="443" ht="15.75" customHeight="1" s="59"/>
    <row r="444" ht="15.75" customHeight="1" s="59"/>
    <row r="445" ht="15.75" customHeight="1" s="59"/>
    <row r="446" ht="15.75" customHeight="1" s="59"/>
    <row r="447" ht="15.75" customHeight="1" s="59"/>
    <row r="448" ht="15.75" customHeight="1" s="59"/>
    <row r="449" ht="15.75" customHeight="1" s="59"/>
    <row r="450" ht="15.75" customHeight="1" s="59"/>
    <row r="451" ht="15.75" customHeight="1" s="59"/>
    <row r="452" ht="15.75" customHeight="1" s="59"/>
    <row r="453" ht="15.75" customHeight="1" s="59"/>
    <row r="454" ht="15.75" customHeight="1" s="59"/>
    <row r="455" ht="15.75" customHeight="1" s="59"/>
    <row r="456" ht="15.75" customHeight="1" s="59"/>
    <row r="457" ht="15.75" customHeight="1" s="59"/>
    <row r="458" ht="15.75" customHeight="1" s="59"/>
    <row r="459" ht="15.75" customHeight="1" s="59"/>
    <row r="460" ht="15.75" customHeight="1" s="59"/>
    <row r="461" ht="15.75" customHeight="1" s="59"/>
    <row r="462" ht="15.75" customHeight="1" s="59"/>
    <row r="463" ht="15.75" customHeight="1" s="59"/>
    <row r="464" ht="15.75" customHeight="1" s="59"/>
    <row r="465" ht="15.75" customHeight="1" s="59"/>
    <row r="466" ht="15.75" customHeight="1" s="59"/>
    <row r="467" ht="15.75" customHeight="1" s="59"/>
    <row r="468" ht="15.75" customHeight="1" s="59"/>
    <row r="469" ht="15.75" customHeight="1" s="59"/>
    <row r="470" ht="15.75" customHeight="1" s="59"/>
    <row r="471" ht="15.75" customHeight="1" s="59"/>
    <row r="472" ht="15.75" customHeight="1" s="59"/>
    <row r="473" ht="15.75" customHeight="1" s="59"/>
    <row r="474" ht="15.75" customHeight="1" s="59"/>
    <row r="475" ht="15.75" customHeight="1" s="59"/>
    <row r="476" ht="15.75" customHeight="1" s="59"/>
    <row r="477" ht="15.75" customHeight="1" s="59"/>
    <row r="478" ht="15.75" customHeight="1" s="59"/>
    <row r="479" ht="15.75" customHeight="1" s="59"/>
    <row r="480" ht="15.75" customHeight="1" s="59"/>
    <row r="481" ht="15.75" customHeight="1" s="59"/>
    <row r="482" ht="15.75" customHeight="1" s="59"/>
    <row r="483" ht="15.75" customHeight="1" s="59"/>
    <row r="484" ht="15.75" customHeight="1" s="59"/>
    <row r="485" ht="15.75" customHeight="1" s="59"/>
    <row r="486" ht="15.75" customHeight="1" s="59"/>
    <row r="487" ht="15.75" customHeight="1" s="59"/>
    <row r="488" ht="15.75" customHeight="1" s="59"/>
    <row r="489" ht="15.75" customHeight="1" s="59"/>
    <row r="490" ht="15.75" customHeight="1" s="59"/>
    <row r="491" ht="15.75" customHeight="1" s="59"/>
    <row r="492" ht="15.75" customHeight="1" s="59"/>
    <row r="493" ht="15.75" customHeight="1" s="59"/>
    <row r="494" ht="15.75" customHeight="1" s="59"/>
    <row r="495" ht="15.75" customHeight="1" s="59"/>
    <row r="496" ht="15.75" customHeight="1" s="59"/>
    <row r="497" ht="15.75" customHeight="1" s="59"/>
    <row r="498" ht="15.75" customHeight="1" s="59"/>
    <row r="499" ht="15.75" customHeight="1" s="59"/>
    <row r="500" ht="15.75" customHeight="1" s="59"/>
    <row r="501" ht="15.75" customHeight="1" s="59"/>
    <row r="502" ht="15.75" customHeight="1" s="59"/>
    <row r="503" ht="15.75" customHeight="1" s="59"/>
    <row r="504" ht="15.75" customHeight="1" s="59"/>
    <row r="505" ht="15.75" customHeight="1" s="59"/>
    <row r="506" ht="15.75" customHeight="1" s="59"/>
    <row r="507" ht="15.75" customHeight="1" s="59"/>
    <row r="508" ht="15.75" customHeight="1" s="59"/>
    <row r="509" ht="15.75" customHeight="1" s="59"/>
    <row r="510" ht="15.75" customHeight="1" s="59"/>
    <row r="511" ht="15.75" customHeight="1" s="59"/>
    <row r="512" ht="15.75" customHeight="1" s="59"/>
    <row r="513" ht="15.75" customHeight="1" s="59"/>
    <row r="514" ht="15.75" customHeight="1" s="59"/>
    <row r="515" ht="15.75" customHeight="1" s="59"/>
    <row r="516" ht="15.75" customHeight="1" s="59"/>
    <row r="517" ht="15.75" customHeight="1" s="59"/>
    <row r="518" ht="15.75" customHeight="1" s="59"/>
    <row r="519" ht="15.75" customHeight="1" s="59"/>
    <row r="520" ht="15.75" customHeight="1" s="59"/>
    <row r="521" ht="15.75" customHeight="1" s="59"/>
    <row r="522" ht="15.75" customHeight="1" s="59"/>
    <row r="523" ht="15.75" customHeight="1" s="59"/>
    <row r="524" ht="15.75" customHeight="1" s="59"/>
    <row r="525" ht="15.75" customHeight="1" s="59"/>
    <row r="526" ht="15.75" customHeight="1" s="59"/>
    <row r="527" ht="15.75" customHeight="1" s="59"/>
    <row r="528" ht="15.75" customHeight="1" s="59"/>
    <row r="529" ht="15.75" customHeight="1" s="59"/>
    <row r="530" ht="15.75" customHeight="1" s="59"/>
    <row r="531" ht="15.75" customHeight="1" s="59"/>
    <row r="532" ht="15.75" customHeight="1" s="59"/>
    <row r="533" ht="15.75" customHeight="1" s="59"/>
    <row r="534" ht="15.75" customHeight="1" s="59"/>
    <row r="535" ht="15.75" customHeight="1" s="59"/>
    <row r="536" ht="15.75" customHeight="1" s="59"/>
    <row r="537" ht="15.75" customHeight="1" s="59"/>
    <row r="538" ht="15.75" customHeight="1" s="59"/>
    <row r="539" ht="15.75" customHeight="1" s="59"/>
    <row r="540" ht="15.75" customHeight="1" s="59"/>
    <row r="541" ht="15.75" customHeight="1" s="59"/>
    <row r="542" ht="15.75" customHeight="1" s="59"/>
    <row r="543" ht="15.75" customHeight="1" s="59"/>
    <row r="544" ht="15.75" customHeight="1" s="59"/>
    <row r="545" ht="15.75" customHeight="1" s="59"/>
    <row r="546" ht="15.75" customHeight="1" s="59"/>
    <row r="547" ht="15.75" customHeight="1" s="59"/>
    <row r="548" ht="15.75" customHeight="1" s="59"/>
    <row r="549" ht="15.75" customHeight="1" s="59"/>
    <row r="550" ht="15.75" customHeight="1" s="59"/>
    <row r="551" ht="15.75" customHeight="1" s="59"/>
    <row r="552" ht="15.75" customHeight="1" s="59"/>
    <row r="553" ht="15.75" customHeight="1" s="59"/>
    <row r="554" ht="15.75" customHeight="1" s="59"/>
    <row r="555" ht="15.75" customHeight="1" s="59"/>
    <row r="556" ht="15.75" customHeight="1" s="59"/>
    <row r="557" ht="15.75" customHeight="1" s="59"/>
    <row r="558" ht="15.75" customHeight="1" s="59"/>
    <row r="559" ht="15.75" customHeight="1" s="59"/>
    <row r="560" ht="15.75" customHeight="1" s="59"/>
    <row r="561" ht="15.75" customHeight="1" s="59"/>
    <row r="562" ht="15.75" customHeight="1" s="59"/>
    <row r="563" ht="15.75" customHeight="1" s="59"/>
    <row r="564" ht="15.75" customHeight="1" s="59"/>
    <row r="565" ht="15.75" customHeight="1" s="59"/>
    <row r="566" ht="15.75" customHeight="1" s="59"/>
    <row r="567" ht="15.75" customHeight="1" s="59"/>
    <row r="568" ht="15.75" customHeight="1" s="59"/>
    <row r="569" ht="15.75" customHeight="1" s="59"/>
    <row r="570" ht="15.75" customHeight="1" s="59"/>
    <row r="571" ht="15.75" customHeight="1" s="59"/>
    <row r="572" ht="15.75" customHeight="1" s="59"/>
    <row r="573" ht="15.75" customHeight="1" s="59"/>
    <row r="574" ht="15.75" customHeight="1" s="59"/>
    <row r="575" ht="15.75" customHeight="1" s="59"/>
    <row r="576" ht="15.75" customHeight="1" s="59"/>
    <row r="577" ht="15.75" customHeight="1" s="59"/>
    <row r="578" ht="15.75" customHeight="1" s="59"/>
    <row r="579" ht="15.75" customHeight="1" s="59"/>
    <row r="580" ht="15.75" customHeight="1" s="59"/>
    <row r="581" ht="15.75" customHeight="1" s="59"/>
    <row r="582" ht="15.75" customHeight="1" s="59"/>
    <row r="583" ht="15.75" customHeight="1" s="59"/>
    <row r="584" ht="15.75" customHeight="1" s="59"/>
    <row r="585" ht="15.75" customHeight="1" s="59"/>
    <row r="586" ht="15.75" customHeight="1" s="59"/>
    <row r="587" ht="15.75" customHeight="1" s="59"/>
    <row r="588" ht="15.75" customHeight="1" s="59"/>
    <row r="589" ht="15.75" customHeight="1" s="59"/>
    <row r="590" ht="15.75" customHeight="1" s="59"/>
    <row r="591" ht="15.75" customHeight="1" s="59"/>
    <row r="592" ht="15.75" customHeight="1" s="59"/>
    <row r="593" ht="15.75" customHeight="1" s="59"/>
    <row r="594" ht="15.75" customHeight="1" s="59"/>
    <row r="595" ht="15.75" customHeight="1" s="59"/>
    <row r="596" ht="15.75" customHeight="1" s="59"/>
    <row r="597" ht="15.75" customHeight="1" s="59"/>
    <row r="598" ht="15.75" customHeight="1" s="59"/>
    <row r="599" ht="15.75" customHeight="1" s="59"/>
    <row r="600" ht="15.75" customHeight="1" s="59"/>
    <row r="601" ht="15.75" customHeight="1" s="59"/>
    <row r="602" ht="15.75" customHeight="1" s="59"/>
    <row r="603" ht="15.75" customHeight="1" s="59"/>
    <row r="604" ht="15.75" customHeight="1" s="59"/>
    <row r="605" ht="15.75" customHeight="1" s="59"/>
    <row r="606" ht="15.75" customHeight="1" s="59"/>
    <row r="607" ht="15.75" customHeight="1" s="59"/>
    <row r="608" ht="15.75" customHeight="1" s="59"/>
    <row r="609" ht="15.75" customHeight="1" s="59"/>
    <row r="610" ht="15.75" customHeight="1" s="59"/>
    <row r="611" ht="15.75" customHeight="1" s="59"/>
    <row r="612" ht="15.75" customHeight="1" s="59"/>
    <row r="613" ht="15.75" customHeight="1" s="59"/>
    <row r="614" ht="15.75" customHeight="1" s="59"/>
    <row r="615" ht="15.75" customHeight="1" s="59"/>
    <row r="616" ht="15.75" customHeight="1" s="59"/>
    <row r="617" ht="15.75" customHeight="1" s="59"/>
    <row r="618" ht="15.75" customHeight="1" s="59"/>
    <row r="619" ht="15.75" customHeight="1" s="59"/>
    <row r="620" ht="15.75" customHeight="1" s="59"/>
    <row r="621" ht="15.75" customHeight="1" s="59"/>
    <row r="622" ht="15.75" customHeight="1" s="59"/>
    <row r="623" ht="15.75" customHeight="1" s="59"/>
    <row r="624" ht="15.75" customHeight="1" s="59"/>
    <row r="625" ht="15.75" customHeight="1" s="59"/>
    <row r="626" ht="15.75" customHeight="1" s="59"/>
    <row r="627" ht="15.75" customHeight="1" s="59"/>
    <row r="628" ht="15.75" customHeight="1" s="59"/>
    <row r="629" ht="15.75" customHeight="1" s="59"/>
    <row r="630" ht="15.75" customHeight="1" s="59"/>
    <row r="631" ht="15.75" customHeight="1" s="59"/>
    <row r="632" ht="15.75" customHeight="1" s="59"/>
    <row r="633" ht="15.75" customHeight="1" s="59"/>
    <row r="634" ht="15.75" customHeight="1" s="59"/>
    <row r="635" ht="15.75" customHeight="1" s="59"/>
    <row r="636" ht="15.75" customHeight="1" s="59"/>
    <row r="637" ht="15.75" customHeight="1" s="59"/>
    <row r="638" ht="15.75" customHeight="1" s="59"/>
    <row r="639" ht="15.75" customHeight="1" s="59"/>
    <row r="640" ht="15.75" customHeight="1" s="59"/>
    <row r="641" ht="15.75" customHeight="1" s="59"/>
    <row r="642" ht="15.75" customHeight="1" s="59"/>
    <row r="643" ht="15.75" customHeight="1" s="59"/>
    <row r="644" ht="15.75" customHeight="1" s="59"/>
    <row r="645" ht="15.75" customHeight="1" s="59"/>
    <row r="646" ht="15.75" customHeight="1" s="59"/>
    <row r="647" ht="15.75" customHeight="1" s="59"/>
    <row r="648" ht="15.75" customHeight="1" s="59"/>
    <row r="649" ht="15.75" customHeight="1" s="59"/>
    <row r="650" ht="15.75" customHeight="1" s="59"/>
    <row r="651" ht="15.75" customHeight="1" s="59"/>
    <row r="652" ht="15.75" customHeight="1" s="59"/>
    <row r="653" ht="15.75" customHeight="1" s="59"/>
    <row r="654" ht="15.75" customHeight="1" s="59"/>
    <row r="655" ht="15.75" customHeight="1" s="59"/>
    <row r="656" ht="15.75" customHeight="1" s="59"/>
    <row r="657" ht="15.75" customHeight="1" s="59"/>
    <row r="658" ht="15.75" customHeight="1" s="59"/>
    <row r="659" ht="15.75" customHeight="1" s="59"/>
    <row r="660" ht="15.75" customHeight="1" s="59"/>
    <row r="661" ht="15.75" customHeight="1" s="59"/>
    <row r="662" ht="15.75" customHeight="1" s="59"/>
    <row r="663" ht="15.75" customHeight="1" s="59"/>
    <row r="664" ht="15.75" customHeight="1" s="59"/>
    <row r="665" ht="15.75" customHeight="1" s="59"/>
    <row r="666" ht="15.75" customHeight="1" s="59"/>
    <row r="667" ht="15.75" customHeight="1" s="59"/>
    <row r="668" ht="15.75" customHeight="1" s="59"/>
    <row r="669" ht="15.75" customHeight="1" s="59"/>
    <row r="670" ht="15.75" customHeight="1" s="59"/>
    <row r="671" ht="15.75" customHeight="1" s="59"/>
    <row r="672" ht="15.75" customHeight="1" s="59"/>
    <row r="673" ht="15.75" customHeight="1" s="59"/>
    <row r="674" ht="15.75" customHeight="1" s="59"/>
    <row r="675" ht="15.75" customHeight="1" s="59"/>
    <row r="676" ht="15.75" customHeight="1" s="59"/>
    <row r="677" ht="15.75" customHeight="1" s="59"/>
    <row r="678" ht="15.75" customHeight="1" s="59"/>
    <row r="679" ht="15.75" customHeight="1" s="59"/>
    <row r="680" ht="15.75" customHeight="1" s="59"/>
    <row r="681" ht="15.75" customHeight="1" s="59"/>
    <row r="682" ht="15.75" customHeight="1" s="59"/>
    <row r="683" ht="15.75" customHeight="1" s="59"/>
    <row r="684" ht="15.75" customHeight="1" s="59"/>
    <row r="685" ht="15.75" customHeight="1" s="59"/>
    <row r="686" ht="15.75" customHeight="1" s="59"/>
    <row r="687" ht="15.75" customHeight="1" s="59"/>
    <row r="688" ht="15.75" customHeight="1" s="59"/>
    <row r="689" ht="15.75" customHeight="1" s="59"/>
    <row r="690" ht="15.75" customHeight="1" s="59"/>
    <row r="691" ht="15.75" customHeight="1" s="59"/>
    <row r="692" ht="15.75" customHeight="1" s="59"/>
    <row r="693" ht="15.75" customHeight="1" s="59"/>
    <row r="694" ht="15.75" customHeight="1" s="59"/>
    <row r="695" ht="15.75" customHeight="1" s="59"/>
    <row r="696" ht="15.75" customHeight="1" s="59"/>
    <row r="697" ht="15.75" customHeight="1" s="59"/>
    <row r="698" ht="15.75" customHeight="1" s="59"/>
    <row r="699" ht="15.75" customHeight="1" s="59"/>
    <row r="700" ht="15.75" customHeight="1" s="59"/>
    <row r="701" ht="15.75" customHeight="1" s="59"/>
    <row r="702" ht="15.75" customHeight="1" s="59"/>
    <row r="703" ht="15.75" customHeight="1" s="59"/>
    <row r="704" ht="15.75" customHeight="1" s="59"/>
    <row r="705" ht="15.75" customHeight="1" s="59"/>
    <row r="706" ht="15.75" customHeight="1" s="59"/>
    <row r="707" ht="15.75" customHeight="1" s="59"/>
    <row r="708" ht="15.75" customHeight="1" s="59"/>
    <row r="709" ht="15.75" customHeight="1" s="59"/>
    <row r="710" ht="15.75" customHeight="1" s="59"/>
    <row r="711" ht="15.75" customHeight="1" s="59"/>
    <row r="712" ht="15.75" customHeight="1" s="59"/>
    <row r="713" ht="15.75" customHeight="1" s="59"/>
    <row r="714" ht="15.75" customHeight="1" s="59"/>
    <row r="715" ht="15.75" customHeight="1" s="59"/>
    <row r="716" ht="15.75" customHeight="1" s="59"/>
    <row r="717" ht="15.75" customHeight="1" s="59"/>
    <row r="718" ht="15.75" customHeight="1" s="59"/>
    <row r="719" ht="15.75" customHeight="1" s="59"/>
    <row r="720" ht="15.75" customHeight="1" s="59"/>
    <row r="721" ht="15.75" customHeight="1" s="59"/>
    <row r="722" ht="15.75" customHeight="1" s="59"/>
    <row r="723" ht="15.75" customHeight="1" s="59"/>
    <row r="724" ht="15.75" customHeight="1" s="59"/>
    <row r="725" ht="15.75" customHeight="1" s="59"/>
    <row r="726" ht="15.75" customHeight="1" s="59"/>
    <row r="727" ht="15.75" customHeight="1" s="59"/>
    <row r="728" ht="15.75" customHeight="1" s="59"/>
    <row r="729" ht="15.75" customHeight="1" s="59"/>
    <row r="730" ht="15.75" customHeight="1" s="59"/>
    <row r="731" ht="15.75" customHeight="1" s="59"/>
    <row r="732" ht="15.75" customHeight="1" s="59"/>
    <row r="733" ht="15.75" customHeight="1" s="59"/>
    <row r="734" ht="15.75" customHeight="1" s="59"/>
    <row r="735" ht="15.75" customHeight="1" s="59"/>
    <row r="736" ht="15.75" customHeight="1" s="59"/>
    <row r="737" ht="15.75" customHeight="1" s="59"/>
    <row r="738" ht="15.75" customHeight="1" s="59"/>
    <row r="739" ht="15.75" customHeight="1" s="59"/>
    <row r="740" ht="15.75" customHeight="1" s="59"/>
    <row r="741" ht="15.75" customHeight="1" s="59"/>
    <row r="742" ht="15.75" customHeight="1" s="59"/>
    <row r="743" ht="15.75" customHeight="1" s="59"/>
    <row r="744" ht="15.75" customHeight="1" s="59"/>
    <row r="745" ht="15.75" customHeight="1" s="59"/>
    <row r="746" ht="15.75" customHeight="1" s="59"/>
    <row r="747" ht="15.75" customHeight="1" s="59"/>
    <row r="748" ht="15.75" customHeight="1" s="59"/>
    <row r="749" ht="15.75" customHeight="1" s="59"/>
    <row r="750" ht="15.75" customHeight="1" s="59"/>
    <row r="751" ht="15.75" customHeight="1" s="59"/>
    <row r="752" ht="15.75" customHeight="1" s="59"/>
    <row r="753" ht="15.75" customHeight="1" s="59"/>
    <row r="754" ht="15.75" customHeight="1" s="59"/>
    <row r="755" ht="15.75" customHeight="1" s="59"/>
    <row r="756" ht="15.75" customHeight="1" s="59"/>
    <row r="757" ht="15.75" customHeight="1" s="59"/>
    <row r="758" ht="15.75" customHeight="1" s="59"/>
    <row r="759" ht="15.75" customHeight="1" s="59"/>
    <row r="760" ht="15.75" customHeight="1" s="59"/>
    <row r="761" ht="15.75" customHeight="1" s="59"/>
    <row r="762" ht="15.75" customHeight="1" s="59"/>
    <row r="763" ht="15.75" customHeight="1" s="59"/>
    <row r="764" ht="15.75" customHeight="1" s="59"/>
    <row r="765" ht="15.75" customHeight="1" s="59"/>
    <row r="766" ht="15.75" customHeight="1" s="59"/>
    <row r="767" ht="15.75" customHeight="1" s="59"/>
    <row r="768" ht="15.75" customHeight="1" s="59"/>
    <row r="769" ht="15.75" customHeight="1" s="59"/>
    <row r="770" ht="15.75" customHeight="1" s="59"/>
    <row r="771" ht="15.75" customHeight="1" s="59"/>
    <row r="772" ht="15.75" customHeight="1" s="59"/>
    <row r="773" ht="15.75" customHeight="1" s="59"/>
    <row r="774" ht="15.75" customHeight="1" s="59"/>
    <row r="775" ht="15.75" customHeight="1" s="59"/>
    <row r="776" ht="15.75" customHeight="1" s="59"/>
    <row r="777" ht="15.75" customHeight="1" s="59"/>
    <row r="778" ht="15.75" customHeight="1" s="59"/>
    <row r="779" ht="15.75" customHeight="1" s="59"/>
    <row r="780" ht="15.75" customHeight="1" s="59"/>
    <row r="781" ht="15.75" customHeight="1" s="59"/>
    <row r="782" ht="15.75" customHeight="1" s="59"/>
    <row r="783" ht="15.75" customHeight="1" s="59"/>
    <row r="784" ht="15.75" customHeight="1" s="59"/>
    <row r="785" ht="15.75" customHeight="1" s="59"/>
    <row r="786" ht="15.75" customHeight="1" s="59"/>
    <row r="787" ht="15.75" customHeight="1" s="59"/>
    <row r="788" ht="15.75" customHeight="1" s="59"/>
    <row r="789" ht="15.75" customHeight="1" s="59"/>
    <row r="790" ht="15.75" customHeight="1" s="59"/>
    <row r="791" ht="15.75" customHeight="1" s="59"/>
    <row r="792" ht="15.75" customHeight="1" s="59"/>
    <row r="793" ht="15.75" customHeight="1" s="59"/>
    <row r="794" ht="15.75" customHeight="1" s="59"/>
    <row r="795" ht="15.75" customHeight="1" s="59"/>
    <row r="796" ht="15.75" customHeight="1" s="59"/>
    <row r="797" ht="15.75" customHeight="1" s="59"/>
    <row r="798" ht="15.75" customHeight="1" s="59"/>
    <row r="799" ht="15.75" customHeight="1" s="59"/>
    <row r="800" ht="15.75" customHeight="1" s="59"/>
    <row r="801" ht="15.75" customHeight="1" s="59"/>
    <row r="802" ht="15.75" customHeight="1" s="59"/>
    <row r="803" ht="15.75" customHeight="1" s="59"/>
    <row r="804" ht="15.75" customHeight="1" s="59"/>
    <row r="805" ht="15.75" customHeight="1" s="59"/>
    <row r="806" ht="15.75" customHeight="1" s="59"/>
    <row r="807" ht="15.75" customHeight="1" s="59"/>
    <row r="808" ht="15.75" customHeight="1" s="59"/>
    <row r="809" ht="15.75" customHeight="1" s="59"/>
    <row r="810" ht="15.75" customHeight="1" s="59"/>
    <row r="811" ht="15.75" customHeight="1" s="59"/>
    <row r="812" ht="15.75" customHeight="1" s="59"/>
    <row r="813" ht="15.75" customHeight="1" s="59"/>
    <row r="814" ht="15.75" customHeight="1" s="59"/>
    <row r="815" ht="15.75" customHeight="1" s="59"/>
    <row r="816" ht="15.75" customHeight="1" s="59"/>
    <row r="817" ht="15.75" customHeight="1" s="59"/>
    <row r="818" ht="15.75" customHeight="1" s="59"/>
    <row r="819" ht="15.75" customHeight="1" s="59"/>
    <row r="820" ht="15.75" customHeight="1" s="59"/>
    <row r="821" ht="15.75" customHeight="1" s="59"/>
    <row r="822" ht="15.75" customHeight="1" s="59"/>
    <row r="823" ht="15.75" customHeight="1" s="59"/>
    <row r="824" ht="15.75" customHeight="1" s="59"/>
    <row r="825" ht="15.75" customHeight="1" s="59"/>
    <row r="826" ht="15.75" customHeight="1" s="59"/>
    <row r="827" ht="15.75" customHeight="1" s="59"/>
    <row r="828" ht="15.75" customHeight="1" s="59"/>
    <row r="829" ht="15.75" customHeight="1" s="59"/>
    <row r="830" ht="15.75" customHeight="1" s="59"/>
    <row r="831" ht="15.75" customHeight="1" s="59"/>
    <row r="832" ht="15.75" customHeight="1" s="59"/>
    <row r="833" ht="15.75" customHeight="1" s="59"/>
    <row r="834" ht="15.75" customHeight="1" s="59"/>
    <row r="835" ht="15.75" customHeight="1" s="59"/>
    <row r="836" ht="15.75" customHeight="1" s="59"/>
    <row r="837" ht="15.75" customHeight="1" s="59"/>
    <row r="838" ht="15.75" customHeight="1" s="59"/>
    <row r="839" ht="15.75" customHeight="1" s="59"/>
    <row r="840" ht="15.75" customHeight="1" s="59"/>
    <row r="841" ht="15.75" customHeight="1" s="59"/>
    <row r="842" ht="15.75" customHeight="1" s="59"/>
    <row r="843" ht="15.75" customHeight="1" s="59"/>
    <row r="844" ht="15.75" customHeight="1" s="59"/>
    <row r="845" ht="15.75" customHeight="1" s="59"/>
    <row r="846" ht="15.75" customHeight="1" s="59"/>
    <row r="847" ht="15.75" customHeight="1" s="59"/>
    <row r="848" ht="15.75" customHeight="1" s="59"/>
    <row r="849" ht="15.75" customHeight="1" s="59"/>
    <row r="850" ht="15.75" customHeight="1" s="59"/>
    <row r="851" ht="15.75" customHeight="1" s="59"/>
    <row r="852" ht="15.75" customHeight="1" s="59"/>
    <row r="853" ht="15.75" customHeight="1" s="59"/>
    <row r="854" ht="15.75" customHeight="1" s="59"/>
    <row r="855" ht="15.75" customHeight="1" s="59"/>
    <row r="856" ht="15.75" customHeight="1" s="59"/>
    <row r="857" ht="15.75" customHeight="1" s="59"/>
    <row r="858" ht="15.75" customHeight="1" s="59"/>
    <row r="859" ht="15.75" customHeight="1" s="59"/>
    <row r="860" ht="15.75" customHeight="1" s="59"/>
    <row r="861" ht="15.75" customHeight="1" s="59"/>
    <row r="862" ht="15.75" customHeight="1" s="59"/>
    <row r="863" ht="15.75" customHeight="1" s="59"/>
    <row r="864" ht="15.75" customHeight="1" s="59"/>
    <row r="865" ht="15.75" customHeight="1" s="59"/>
    <row r="866" ht="15.75" customHeight="1" s="59"/>
    <row r="867" ht="15.75" customHeight="1" s="59"/>
    <row r="868" ht="15.75" customHeight="1" s="59"/>
    <row r="869" ht="15.75" customHeight="1" s="59"/>
    <row r="870" ht="15.75" customHeight="1" s="59"/>
    <row r="871" ht="15.75" customHeight="1" s="59"/>
    <row r="872" ht="15.75" customHeight="1" s="59"/>
    <row r="873" ht="15.75" customHeight="1" s="59"/>
    <row r="874" ht="15.75" customHeight="1" s="59"/>
    <row r="875" ht="15.75" customHeight="1" s="59"/>
    <row r="876" ht="15.75" customHeight="1" s="59"/>
    <row r="877" ht="15.75" customHeight="1" s="59"/>
    <row r="878" ht="15.75" customHeight="1" s="59"/>
    <row r="879" ht="15.75" customHeight="1" s="59"/>
    <row r="880" ht="15.75" customHeight="1" s="59"/>
    <row r="881" ht="15.75" customHeight="1" s="59"/>
    <row r="882" ht="15.75" customHeight="1" s="59"/>
    <row r="883" ht="15.75" customHeight="1" s="59"/>
    <row r="884" ht="15.75" customHeight="1" s="59"/>
    <row r="885" ht="15.75" customHeight="1" s="59"/>
    <row r="886" ht="15.75" customHeight="1" s="59"/>
    <row r="887" ht="15.75" customHeight="1" s="59"/>
    <row r="888" ht="15.75" customHeight="1" s="59"/>
    <row r="889" ht="15.75" customHeight="1" s="59"/>
    <row r="890" ht="15.75" customHeight="1" s="59"/>
    <row r="891" ht="15.75" customHeight="1" s="59"/>
    <row r="892" ht="15.75" customHeight="1" s="59"/>
    <row r="893" ht="15.75" customHeight="1" s="59"/>
    <row r="894" ht="15.75" customHeight="1" s="59"/>
    <row r="895" ht="15.75" customHeight="1" s="59"/>
    <row r="896" ht="15.75" customHeight="1" s="59"/>
    <row r="897" ht="15.75" customHeight="1" s="59"/>
    <row r="898" ht="15.75" customHeight="1" s="59"/>
    <row r="899" ht="15.75" customHeight="1" s="59"/>
    <row r="900" ht="15.75" customHeight="1" s="59"/>
    <row r="901" ht="15.75" customHeight="1" s="59"/>
    <row r="902" ht="15.75" customHeight="1" s="59"/>
    <row r="903" ht="15.75" customHeight="1" s="59"/>
    <row r="904" ht="15.75" customHeight="1" s="59"/>
    <row r="905" ht="15.75" customHeight="1" s="59"/>
    <row r="906" ht="15.75" customHeight="1" s="59"/>
    <row r="907" ht="15.75" customHeight="1" s="59"/>
    <row r="908" ht="15.75" customHeight="1" s="59"/>
    <row r="909" ht="15.75" customHeight="1" s="59"/>
    <row r="910" ht="15.75" customHeight="1" s="59"/>
    <row r="911" ht="15.75" customHeight="1" s="59"/>
    <row r="912" ht="15.75" customHeight="1" s="59"/>
    <row r="913" ht="15.75" customHeight="1" s="59"/>
    <row r="914" ht="15.75" customHeight="1" s="59"/>
    <row r="915" ht="15.75" customHeight="1" s="59"/>
    <row r="916" ht="15.75" customHeight="1" s="59"/>
    <row r="917" ht="15.75" customHeight="1" s="59"/>
    <row r="918" ht="15.75" customHeight="1" s="59"/>
    <row r="919" ht="15.75" customHeight="1" s="59"/>
    <row r="920" ht="15.75" customHeight="1" s="59"/>
    <row r="921" ht="15.75" customHeight="1" s="59"/>
    <row r="922" ht="15.75" customHeight="1" s="59"/>
    <row r="923" ht="15.75" customHeight="1" s="59"/>
    <row r="924" ht="15.75" customHeight="1" s="59"/>
    <row r="925" ht="15.75" customHeight="1" s="59"/>
    <row r="926" ht="15.75" customHeight="1" s="59"/>
    <row r="927" ht="15.75" customHeight="1" s="59"/>
    <row r="928" ht="15.75" customHeight="1" s="59"/>
    <row r="929" ht="15.75" customHeight="1" s="59"/>
    <row r="930" ht="15.75" customHeight="1" s="59"/>
    <row r="931" ht="15.75" customHeight="1" s="59"/>
    <row r="932" ht="15.75" customHeight="1" s="59"/>
    <row r="933" ht="15.75" customHeight="1" s="59"/>
    <row r="934" ht="15.75" customHeight="1" s="59"/>
    <row r="935" ht="15.75" customHeight="1" s="59"/>
    <row r="936" ht="15.75" customHeight="1" s="59"/>
    <row r="937" ht="15.75" customHeight="1" s="59"/>
    <row r="938" ht="15.75" customHeight="1" s="59"/>
    <row r="939" ht="15.75" customHeight="1" s="59"/>
    <row r="940" ht="15.75" customHeight="1" s="59"/>
    <row r="941" ht="15.75" customHeight="1" s="59"/>
    <row r="942" ht="15.75" customHeight="1" s="59"/>
    <row r="943" ht="15.75" customHeight="1" s="59"/>
    <row r="944" ht="15.75" customHeight="1" s="59"/>
    <row r="945" ht="15.75" customHeight="1" s="59"/>
    <row r="946" ht="15.75" customHeight="1" s="59"/>
    <row r="947" ht="15.75" customHeight="1" s="59"/>
    <row r="948" ht="15.75" customHeight="1" s="59"/>
    <row r="949" ht="15.75" customHeight="1" s="59"/>
    <row r="950" ht="15.75" customHeight="1" s="59"/>
    <row r="951" ht="15.75" customHeight="1" s="59"/>
    <row r="952" ht="15.75" customHeight="1" s="59"/>
    <row r="953" ht="15.75" customHeight="1" s="59"/>
    <row r="954" ht="15.75" customHeight="1" s="59"/>
    <row r="955" ht="15.75" customHeight="1" s="59"/>
    <row r="956" ht="15.75" customHeight="1" s="59"/>
    <row r="957" ht="15.75" customHeight="1" s="59"/>
    <row r="958" ht="15.75" customHeight="1" s="59"/>
    <row r="959" ht="15.75" customHeight="1" s="59"/>
    <row r="960" ht="15.75" customHeight="1" s="59"/>
    <row r="961" ht="15.75" customHeight="1" s="59"/>
    <row r="962" ht="15.75" customHeight="1" s="59"/>
    <row r="963" ht="15.75" customHeight="1" s="59"/>
    <row r="964" ht="15.75" customHeight="1" s="59"/>
    <row r="965" ht="15.75" customHeight="1" s="59"/>
    <row r="966" ht="15.75" customHeight="1" s="59"/>
    <row r="967" ht="15.75" customHeight="1" s="59"/>
    <row r="968" ht="15.75" customHeight="1" s="59"/>
    <row r="969" ht="15.75" customHeight="1" s="59"/>
    <row r="970" ht="15.75" customHeight="1" s="59"/>
    <row r="971" ht="15.75" customHeight="1" s="59"/>
    <row r="972" ht="15.75" customHeight="1" s="59"/>
    <row r="973" ht="15.75" customHeight="1" s="59"/>
    <row r="974" ht="15.75" customHeight="1" s="59"/>
    <row r="975" ht="15.75" customHeight="1" s="59"/>
    <row r="976" ht="15.75" customHeight="1" s="59"/>
    <row r="977" ht="15.75" customHeight="1" s="59"/>
    <row r="978" ht="15.75" customHeight="1" s="59"/>
    <row r="979" ht="15.75" customHeight="1" s="59"/>
    <row r="980" ht="15.75" customHeight="1" s="59"/>
    <row r="981" ht="15.75" customHeight="1" s="59"/>
    <row r="982" ht="15.75" customHeight="1" s="59"/>
    <row r="983" ht="15.75" customHeight="1" s="59"/>
    <row r="984" ht="15.75" customHeight="1" s="59"/>
    <row r="985" ht="15.75" customHeight="1" s="59"/>
    <row r="986" ht="15.75" customHeight="1" s="59"/>
    <row r="987" ht="15.75" customHeight="1" s="59"/>
    <row r="988" ht="15.75" customHeight="1" s="59"/>
    <row r="989" ht="15.75" customHeight="1" s="59"/>
    <row r="990" ht="15.75" customHeight="1" s="59"/>
    <row r="991" ht="15.75" customHeight="1" s="59"/>
    <row r="992" ht="15.75" customHeight="1" s="59"/>
    <row r="993" ht="15.75" customHeight="1" s="59"/>
    <row r="994" ht="15.75" customHeight="1" s="59"/>
    <row r="995" ht="15.75" customHeight="1" s="59"/>
    <row r="996" ht="15.75" customHeight="1" s="59"/>
    <row r="997" ht="15.75" customHeight="1" s="59"/>
    <row r="998" ht="15.75" customHeight="1" s="59"/>
    <row r="999" ht="15.75" customHeight="1" s="59"/>
    <row r="1000" ht="15.75" customHeight="1" s="59"/>
    <row r="1001" ht="15.75" customHeight="1" s="59"/>
    <row r="1002" ht="15.75" customHeight="1" s="59"/>
    <row r="1003" ht="15.75" customHeight="1" s="59"/>
  </sheetData>
  <mergeCells count="13">
    <mergeCell ref="A4:G4"/>
    <mergeCell ref="A38:G38"/>
    <mergeCell ref="A28:G28"/>
    <mergeCell ref="A2:G3"/>
    <mergeCell ref="F26:G26"/>
    <mergeCell ref="B55:D55"/>
    <mergeCell ref="B36:D36"/>
    <mergeCell ref="A1:G1"/>
    <mergeCell ref="A59:B62"/>
    <mergeCell ref="A57:B57"/>
    <mergeCell ref="B26:D26"/>
    <mergeCell ref="H1:Z3"/>
    <mergeCell ref="H4:Z252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15" r:id="rId3"/>
  </hyperlinks>
  <printOptions horizontalCentered="0" verticalCentered="0" headings="0" gridLines="0" gridLinesSet="1"/>
  <pageMargins left="0.3" right="0.3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2026-07-23T10:54:48Z</dcterms:created>
  <dcterms:modified xmlns:dcterms="http://purl.org/dc/terms/" xmlns:xsi="http://www.w3.org/2001/XMLSchema-instance" xsi:type="dcterms:W3CDTF">2026-10-27T00:31:53Z</dcterms:modified>
  <cp:lastModifiedBy>Juan Ignacio MANFREDO</cp:lastModifiedBy>
  <cp:revision>0</cp:revision>
</cp:coreProperties>
</file>