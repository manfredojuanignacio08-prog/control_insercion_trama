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9" fillId="4" borderId="6" applyAlignment="1" pivotButton="0" quotePrefix="0" xfId="0">
      <alignment horizontal="general" vertical="center" wrapText="1"/>
    </xf>
    <xf numFmtId="0" fontId="7" fillId="0" borderId="5" applyAlignment="1" pivotButton="0" quotePrefix="0" xfId="0">
      <alignment horizontal="general" vertical="center" wrapText="1"/>
    </xf>
    <xf numFmtId="0" fontId="8" fillId="4" borderId="6" applyAlignment="1" pivotButton="0" quotePrefix="0" xfId="0">
      <alignment horizontal="general" vertical="center" wrapText="1"/>
    </xf>
    <xf numFmtId="164" fontId="8" fillId="4" borderId="6" applyAlignment="1" pivotButton="0" quotePrefix="0" xfId="0">
      <alignment horizontal="right" vertical="center"/>
    </xf>
    <xf numFmtId="164" fontId="8" fillId="0" borderId="6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center" wrapText="1"/>
    </xf>
    <xf numFmtId="0" fontId="13" fillId="4" borderId="6" applyAlignment="1" pivotButton="0" quotePrefix="0" xfId="0">
      <alignment horizontal="general" vertical="center" wrapText="1"/>
    </xf>
    <xf numFmtId="0" fontId="8" fillId="0" borderId="7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5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Marcha, Pausa y Retroceder en el telar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47" customHeight="1" s="59">
      <c r="A6" s="68" t="inlineStr">
        <is>
          <t>ESP32 (NodeMCU / WROOM-32)</t>
        </is>
      </c>
      <c r="B6" s="69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>12203</v>
      </c>
      <c r="F6" s="12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124" t="inlineStr">
        <is>
          <t>Módulos de relé, 3 canales en total (5V; el de 2 canales, optoacoplado)</t>
        </is>
      </c>
      <c r="B7" s="69" t="inlineStr">
        <is>
          <t>En paralelo a los botones Marcha, Pausa y Retroceder del telar</t>
        </is>
      </c>
      <c r="C7" s="70" t="n">
        <v>1</v>
      </c>
      <c r="D7" s="71" t="n">
        <v>5000</v>
      </c>
      <c r="E7" s="72">
        <f>C7*D7</f>
        <v>5000</v>
      </c>
      <c r="F7" s="12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32.5" customHeight="1" s="59">
      <c r="A8" s="68" t="inlineStr">
        <is>
          <t>Módulo fuente HLK-5M05 (220V→5V, 1A)</t>
        </is>
      </c>
      <c r="B8" s="125" t="inlineStr">
        <is>
          <t>Alimenta ESP32 + relés + sensado, independiente del telar</t>
        </is>
      </c>
      <c r="C8" s="70" t="n">
        <v>1</v>
      </c>
      <c r="D8" s="71" t="n">
        <v>7000</v>
      </c>
      <c r="E8" s="72">
        <f>C8*D8</f>
        <v>7000</v>
      </c>
      <c r="F8" s="80" t="inlineStr">
        <is>
          <t>Comprado en el local</t>
        </is>
      </c>
      <c r="G8" s="74" t="inlineStr">
        <is>
          <t>Ya se tiene</t>
        </is>
      </c>
    </row>
    <row r="9" ht="32.5" customHeight="1" s="59">
      <c r="A9" s="68" t="inlineStr">
        <is>
          <t>Optoacoplador PC817</t>
        </is>
      </c>
      <c r="B9" s="125" t="inlineStr">
        <is>
          <t>Aísla el 24V AC del botón del GPIO del ESP32, uno por canal</t>
        </is>
      </c>
      <c r="C9" s="70" t="n">
        <v>3</v>
      </c>
      <c r="D9" s="71" t="n">
        <v>500</v>
      </c>
      <c r="E9" s="72">
        <f>C9*D9</f>
        <v>1500</v>
      </c>
      <c r="F9" s="80" t="inlineStr">
        <is>
          <t>Comprado en el local</t>
        </is>
      </c>
      <c r="G9" s="74" t="inlineStr">
        <is>
          <t>Ya se tiene</t>
        </is>
      </c>
    </row>
    <row r="10" ht="32.5" customHeight="1" s="59">
      <c r="A10" s="68" t="inlineStr">
        <is>
          <t>Puente rectificador DB157 (1A)</t>
        </is>
      </c>
      <c r="B10" s="125" t="inlineStr">
        <is>
          <t>Convierte el 24V AC del botón en pulsos de DC, antes del PC817</t>
        </is>
      </c>
      <c r="C10" s="70" t="n">
        <v>3</v>
      </c>
      <c r="D10" s="71" t="n">
        <v>500</v>
      </c>
      <c r="E10" s="72">
        <f>C10*D10</f>
        <v>1500</v>
      </c>
      <c r="F10" s="80" t="inlineStr">
        <is>
          <t>Comprado en el local</t>
        </is>
      </c>
      <c r="G10" s="74" t="inlineStr">
        <is>
          <t>Ya se tiene</t>
        </is>
      </c>
    </row>
    <row r="11" ht="47" customHeight="1" s="59">
      <c r="A11" s="68" t="inlineStr">
        <is>
          <t>Resistencia 2,2kΩ 1W</t>
        </is>
      </c>
      <c r="B11" s="125" t="inlineStr">
        <is>
          <t>Limita la corriente hacia el LED del PC817. Es el valor para una botonera de 18 a 24 V: si al medirla diera entre 12 y 18 V, va de 1,2 kΩ 1 W.</t>
        </is>
      </c>
      <c r="C11" s="70" t="n">
        <v>3</v>
      </c>
      <c r="D11" s="126" t="n">
        <v>150</v>
      </c>
      <c r="E11" s="127">
        <f>C11*D11</f>
        <v>450</v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69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>900</v>
      </c>
      <c r="F12" s="80" t="inlineStr">
        <is>
          <t>Comprado en el local</t>
        </is>
      </c>
      <c r="G12" s="74" t="inlineStr">
        <is>
          <t>Ya se tiene</t>
        </is>
      </c>
    </row>
    <row r="13" ht="61.75" customHeight="1" s="59">
      <c r="A13" s="68" t="inlineStr">
        <is>
          <t>Resistencias 10kΩ ¼W</t>
        </is>
      </c>
      <c r="B13" s="69" t="inlineStr">
        <is>
          <t>Relés: pull-up en IN1 e IN2, pull-down a GND en S, la entrada del módulo de Retroceder (con pull-up arranca cerrado). Sensado: pull-up en GPIO 32, 33 y 34 (Marcha, Pausa, Retroceder)</t>
        </is>
      </c>
      <c r="C13" s="70" t="n">
        <v>6</v>
      </c>
      <c r="D13" s="71" t="n">
        <v>150</v>
      </c>
      <c r="E13" s="72">
        <f>C13*D13</f>
        <v>900</v>
      </c>
      <c r="F13" s="80" t="inlineStr">
        <is>
          <t>Comprado en el local</t>
        </is>
      </c>
      <c r="G13" s="74" t="inlineStr">
        <is>
          <t>Ya se tiene</t>
        </is>
      </c>
    </row>
    <row r="14" ht="70.25" customHeight="1" s="59">
      <c r="A14" s="68" t="inlineStr">
        <is>
          <t>Capacitor electrolítico de 220 a 470 µF</t>
        </is>
      </c>
      <c r="B14" s="69" t="inlineStr">
        <is>
          <t>Sostiene los 5 V ante un consumo brusco</t>
        </is>
      </c>
      <c r="C14" s="70" t="n">
        <v>1</v>
      </c>
      <c r="D14" s="71" t="n">
        <v>300</v>
      </c>
      <c r="E14" s="72">
        <f>C14*D14</f>
        <v>300</v>
      </c>
      <c r="F14" s="80" t="inlineStr">
        <is>
          <t>Comprado en el local</t>
        </is>
      </c>
      <c r="G14" s="128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91" customHeight="1" s="59">
      <c r="A15" s="68" t="inlineStr">
        <is>
          <t>Protoboard de ensayo y cables</t>
        </is>
      </c>
      <c r="B15" s="69" t="inlineStr">
        <is>
          <t>Montaje y conexionado</t>
        </is>
      </c>
      <c r="C15" s="70" t="n">
        <v>1</v>
      </c>
      <c r="D15" s="71" t="n">
        <v>15000</v>
      </c>
      <c r="E15" s="72">
        <f>C15*D15</f>
        <v>15000</v>
      </c>
      <c r="F15" s="123" t="inlineStr">
        <is>
          <t>https://candy-ho.com/producto/tiras-de-40-pines-hembra-paso-2-54mm-recta-1-fila-arduino/ -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32.5" customHeight="1" s="59">
      <c r="A16" s="68" t="inlineStr">
        <is>
          <t>Caja estanca IP65 Roker 230x300x106mm</t>
        </is>
      </c>
      <c r="B16" s="69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>16000</v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69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>3200</v>
      </c>
      <c r="F17" s="80" t="inlineStr">
        <is>
          <t>Comprado en el local</t>
        </is>
      </c>
      <c r="G17" s="74" t="inlineStr">
        <is>
          <t>Ya se tiene</t>
        </is>
      </c>
    </row>
    <row r="18" ht="32.5" customHeight="1" s="59">
      <c r="A18" s="68" t="inlineStr">
        <is>
          <t>Fusible 1A lento + portafusible</t>
        </is>
      </c>
      <c r="B18" s="69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>1000</v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>Cable multifilar 6 conductores, 1 mm²</t>
        </is>
      </c>
      <c r="B19" s="69" t="inlineStr">
        <is>
          <t>Marcha + Pausa + Retroceder</t>
        </is>
      </c>
      <c r="C19" s="70" t="n">
        <v>3</v>
      </c>
      <c r="D19" s="71" t="n">
        <v>2500</v>
      </c>
      <c r="E19" s="72">
        <f>C19*D19</f>
        <v>7500</v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61.75" customHeight="1" s="59">
      <c r="A20" s="68" t="inlineStr">
        <is>
          <t>Capacitor electrolítico 22 µF 50 V</t>
        </is>
      </c>
      <c r="B20" s="69" t="inlineStr">
        <is>
          <t>Mantiene encendido el LED del optoacoplador entre los semiciclos del rectificado</t>
        </is>
      </c>
      <c r="C20" s="70" t="n">
        <v>3</v>
      </c>
      <c r="D20" s="71" t="n">
        <v>400</v>
      </c>
      <c r="E20" s="72">
        <f>C20*D20</f>
        <v>1200</v>
      </c>
      <c r="F20" s="80" t="inlineStr">
        <is>
          <t>Comprado en el local</t>
        </is>
      </c>
      <c r="G20" s="74" t="inlineStr">
        <is>
          <t>Sin él, el sensado manda avisos solos, sin que nadie apriete nada: es crítico en el canal de Retroceder. Con 47 µF un toque rápido del botón no se registra.</t>
        </is>
      </c>
    </row>
    <row r="21" ht="19.5" customHeight="1" s="59">
      <c r="A21" s="85" t="n"/>
      <c r="B21" s="86" t="inlineStr">
        <is>
          <t>Subtotal bloque</t>
        </is>
      </c>
      <c r="C21" s="87" t="n"/>
      <c r="D21" s="88" t="n"/>
      <c r="E21" s="89">
        <f>SUM(E6:E20)</f>
        <v>73653</v>
      </c>
      <c r="F21" s="90" t="n"/>
      <c r="G21" s="91" t="n"/>
    </row>
    <row r="22" ht="15.75" customHeight="1" s="59"/>
    <row r="23" ht="18.75" customHeight="1" s="59">
      <c r="A23" s="92" t="inlineStr">
        <is>
          <t>BLOQUE C, Sensor de pasada (INCLUIDO EN ESTA ETAPA)</t>
        </is>
      </c>
      <c r="B23" s="93" t="n"/>
      <c r="C23" s="93" t="n"/>
      <c r="D23" s="93" t="n"/>
      <c r="E23" s="93" t="n"/>
      <c r="F23" s="93" t="n"/>
      <c r="G23" s="94" t="n"/>
    </row>
    <row r="24" ht="15.75" customHeight="1" s="59">
      <c r="A24" s="95" t="inlineStr">
        <is>
          <t>Componente</t>
        </is>
      </c>
      <c r="B24" s="96" t="inlineStr">
        <is>
          <t>Función</t>
        </is>
      </c>
      <c r="C24" s="96" t="inlineStr">
        <is>
          <t>Cant.</t>
        </is>
      </c>
      <c r="D24" s="96" t="inlineStr">
        <is>
          <t>Precio unit.</t>
        </is>
      </c>
      <c r="E24" s="96" t="inlineStr">
        <is>
          <t>Subtotal</t>
        </is>
      </c>
      <c r="F24" s="96" t="inlineStr">
        <is>
          <t>Link</t>
        </is>
      </c>
      <c r="G24" s="97" t="inlineStr">
        <is>
          <t>Notas</t>
        </is>
      </c>
    </row>
    <row r="25" ht="53.25" customHeight="1" s="59">
      <c r="A25" s="68" t="inlineStr">
        <is>
          <t>Sensor inductivo LJ12A3-4-Z/BX (NPN 6–36V)</t>
        </is>
      </c>
      <c r="B25" s="69" t="inlineStr">
        <is>
          <t>Sensor de pasada recomendado, inmune a la pelusa. Es lo que le da al ESP32 el "entendimiento" de movimiento y posición del telar</t>
        </is>
      </c>
      <c r="C25" s="70" t="n">
        <v>1</v>
      </c>
      <c r="D25" s="71" t="n">
        <v>7000</v>
      </c>
      <c r="E25" s="72">
        <f>C25*D25</f>
        <v>7000</v>
      </c>
      <c r="F25" s="98" t="inlineStr">
        <is>
          <t>Comprado en el local</t>
        </is>
      </c>
      <c r="G25" s="74" t="inlineStr">
        <is>
          <t>Ya se tiene. Montado el 10/09/2026 sobre un eje que da una vuelta por pasada.</t>
        </is>
      </c>
    </row>
    <row r="26" ht="47" customHeight="1" s="59">
      <c r="A26" s="68" t="inlineStr">
        <is>
          <t>(no aplica) Regulador 7824</t>
        </is>
      </c>
      <c r="B26" s="129" t="inlineStr">
        <is>
          <t>Ya no es necesario: el telar entrega 12 a 14 V continuos, muy por debajo de los 36 V que tolera el sensor</t>
        </is>
      </c>
      <c r="C26" s="70" t="n">
        <v>0</v>
      </c>
      <c r="D26" s="71" t="n">
        <v>2000</v>
      </c>
      <c r="E26" s="72">
        <f>C26*D26</f>
        <v>0</v>
      </c>
      <c r="F26" s="98" t="inlineStr">
        <is>
          <t>Comprado en el local</t>
        </is>
      </c>
      <c r="G26" s="128" t="inlineStr">
        <is>
          <t>No se usa: el telar da 12 a 14 V continuos, dentro del rango del sensor (6 a 36 V).</t>
        </is>
      </c>
    </row>
    <row r="27" ht="32.5" customHeight="1" s="59">
      <c r="A27" s="68" t="inlineStr">
        <is>
          <t>Optoacoplador PC817</t>
        </is>
      </c>
      <c r="B27" s="129" t="inlineStr">
        <is>
          <t>Aísla la señal del sensor inductivo (hasta 36V) del GPIO del ESP32</t>
        </is>
      </c>
      <c r="C27" s="70" t="n">
        <v>2</v>
      </c>
      <c r="D27" s="71" t="n">
        <v>700</v>
      </c>
      <c r="E27" s="72">
        <f>C27*D27</f>
        <v>1400</v>
      </c>
      <c r="F27" s="98" t="inlineStr">
        <is>
          <t>Comprado en el local</t>
        </is>
      </c>
      <c r="G27" s="130" t="inlineStr">
        <is>
          <t>Uno en uso y uno de repuesto. Mismo componente que el sensado del Bloque A.</t>
        </is>
      </c>
    </row>
    <row r="28" ht="32.5" customHeight="1" s="59">
      <c r="A28" s="68" t="inlineStr">
        <is>
          <t>(no aplica) Puente rectificador DB157</t>
        </is>
      </c>
      <c r="B28" s="125" t="inlineStr">
        <is>
          <t>Ya no es necesario para este bloque: la alimentación del sensor ya viene en continua</t>
        </is>
      </c>
      <c r="C28" s="70" t="n">
        <v>0</v>
      </c>
      <c r="D28" s="71" t="n">
        <v>500</v>
      </c>
      <c r="E28" s="72">
        <f>C28*D28</f>
        <v>0</v>
      </c>
      <c r="F28" s="98" t="inlineStr">
        <is>
          <t>Comprado en el local</t>
        </is>
      </c>
      <c r="G28" s="74" t="inlineStr">
        <is>
          <t>Ya se tiene</t>
        </is>
      </c>
    </row>
    <row r="29" ht="61.75" customHeight="1" s="59">
      <c r="A29" s="68" t="inlineStr">
        <is>
          <t>Cable 3 conectores (para sensor inductivo)</t>
        </is>
      </c>
      <c r="B29" s="80" t="inlineStr">
        <is>
          <t>Conexión entre el gabinete y el sensor inductivo</t>
        </is>
      </c>
      <c r="C29" s="70" t="n">
        <v>3</v>
      </c>
      <c r="D29" s="71" t="n">
        <v>1700</v>
      </c>
      <c r="E29" s="72">
        <f>C29*D29</f>
        <v>5100</v>
      </c>
      <c r="F29" s="98" t="inlineStr">
        <is>
          <t>Comprado en el local</t>
        </is>
      </c>
      <c r="G29" s="74" t="inlineStr">
        <is>
          <t>Ya se tiene. Al gabinete llegan dos hilos: el positivo del telar (el mismo punto del marrón) y el negro del sensor; el azul queda en el negativo del telar.</t>
        </is>
      </c>
    </row>
    <row r="30" ht="32.5" customHeight="1" s="59">
      <c r="A30" s="68" t="inlineStr">
        <is>
          <t>Resistencia 1,2 kΩ ¼ W</t>
        </is>
      </c>
      <c r="B30" s="69" t="inlineStr">
        <is>
          <t>Limita la corriente del LED del optoacoplador. Con 13 V da unos 10 mA, el valor de trabajo del PC817</t>
        </is>
      </c>
      <c r="C30" s="70" t="n">
        <v>2</v>
      </c>
      <c r="D30" s="71" t="n">
        <v>150</v>
      </c>
      <c r="E30" s="72">
        <f>C30*D30</f>
        <v>300</v>
      </c>
      <c r="F30" s="98" t="inlineStr">
        <is>
          <t>Comprado en el local</t>
        </is>
      </c>
      <c r="G30" s="100" t="inlineStr">
        <is>
          <t>Uno en uso y uno de repuesto.</t>
        </is>
      </c>
    </row>
    <row r="31" ht="32.5" customHeight="1" s="59">
      <c r="A31" s="68" t="inlineStr">
        <is>
          <t>Resistencia 10kΩ ¼W</t>
        </is>
      </c>
      <c r="B31" s="69" t="inlineStr">
        <is>
          <t>Pull-up del GPIO del sensor</t>
        </is>
      </c>
      <c r="C31" s="70" t="n">
        <v>1</v>
      </c>
      <c r="D31" s="71" t="n">
        <v>150</v>
      </c>
      <c r="E31" s="72">
        <f>C31*D31</f>
        <v>150</v>
      </c>
      <c r="F31" s="98" t="inlineStr">
        <is>
          <t>Comprado en el local</t>
        </is>
      </c>
      <c r="G31" s="130" t="inlineStr">
        <is>
          <t>Mantiene el pin del ESP32 en nivel alto mientras el sensor no detecta.</t>
        </is>
      </c>
    </row>
    <row r="32" ht="32.5" customHeight="1" s="59">
      <c r="A32" s="68" t="inlineStr">
        <is>
          <t>(no aplica) Capacitor cerámico 100 nF</t>
        </is>
      </c>
      <c r="B32" s="69" t="inlineStr">
        <is>
          <t>Acompañaba al regulador, que ya no se usa</t>
        </is>
      </c>
      <c r="C32" s="70" t="n">
        <v>0</v>
      </c>
      <c r="D32" s="71" t="n">
        <v>300</v>
      </c>
      <c r="E32" s="72">
        <f>C32*D32</f>
        <v>0</v>
      </c>
      <c r="F32" s="98" t="inlineStr">
        <is>
          <t>Comprado en el local</t>
        </is>
      </c>
      <c r="G32" s="130" t="inlineStr">
        <is>
          <t>No se usa: acompañaba al regulador 7824, que se descartó.</t>
        </is>
      </c>
    </row>
    <row r="33" ht="61.75" customHeight="1" s="59">
      <c r="A33" s="68" t="inlineStr">
        <is>
          <t>Blanco metálico y soporte</t>
        </is>
      </c>
      <c r="B33" s="69" t="inlineStr">
        <is>
          <t>Paleta de acero sobre el eje y escuadra de montaje. Soporte ya construido</t>
        </is>
      </c>
      <c r="C33" s="70" t="n">
        <v>0</v>
      </c>
      <c r="D33" s="71" t="n">
        <v>0</v>
      </c>
      <c r="E33" s="72">
        <f>C33*D33</f>
        <v>0</v>
      </c>
      <c r="F33" s="98" t="inlineStr">
        <is>
          <t>Comprado en el local</t>
        </is>
      </c>
      <c r="G33" s="101" t="inlineStr">
        <is>
          <t>Ya construido y montado el 10/09/2026: escuadra en L tomada de un tornillo existente del chasis, más un tornillo o chapa como blanco metálico.</t>
        </is>
      </c>
    </row>
    <row r="34" ht="20.25" customHeight="1" s="59">
      <c r="A34" s="102" t="n"/>
      <c r="B34" s="86" t="inlineStr">
        <is>
          <t>Subtotal bloque</t>
        </is>
      </c>
      <c r="C34" s="87" t="n"/>
      <c r="D34" s="88" t="n"/>
      <c r="E34" s="103">
        <f>SUM(E25:E33)</f>
        <v>13950</v>
      </c>
      <c r="F34" s="104" t="n"/>
      <c r="G34" s="90" t="n"/>
    </row>
    <row r="35" ht="15.75" customHeight="1" s="59"/>
    <row r="36" ht="20.25" customHeight="1" s="59">
      <c r="A36" s="92" t="inlineStr">
        <is>
          <t>BLOQUE D, Nivel 2: BOBINAS DE SELECCIÓN (4 canales en el C 201)</t>
        </is>
      </c>
      <c r="B36" s="93" t="n"/>
      <c r="C36" s="93" t="n"/>
      <c r="D36" s="93" t="n"/>
      <c r="E36" s="93" t="n"/>
      <c r="F36" s="93" t="n"/>
      <c r="G36" s="94" t="n"/>
    </row>
    <row r="37" ht="15.75" customHeight="1" s="59">
      <c r="A37" s="105" t="inlineStr">
        <is>
          <t>Componente</t>
        </is>
      </c>
      <c r="B37" s="106" t="inlineStr">
        <is>
          <t>Función</t>
        </is>
      </c>
      <c r="C37" s="106" t="inlineStr">
        <is>
          <t>Cant.</t>
        </is>
      </c>
      <c r="D37" s="106" t="inlineStr">
        <is>
          <t>Precio unit.</t>
        </is>
      </c>
      <c r="E37" s="106" t="inlineStr">
        <is>
          <t>Subtotal</t>
        </is>
      </c>
      <c r="F37" s="106" t="inlineStr">
        <is>
          <t>Link</t>
        </is>
      </c>
      <c r="G37" s="107" t="inlineStr">
        <is>
          <t>Notas</t>
        </is>
      </c>
    </row>
    <row r="38" ht="76.25" customHeight="1" s="59">
      <c r="A38" s="68" t="inlineStr">
        <is>
          <t>Bobinas de selección del telar (YA INSTALADAS)</t>
        </is>
      </c>
      <c r="B38" s="69" t="inlineStr">
        <is>
          <t>El actuador: empuja la palanca de selección. El C 201 tiene cuatro</t>
        </is>
      </c>
      <c r="C38" s="70" t="n">
        <v>4</v>
      </c>
      <c r="D38" s="71" t="n">
        <v>0</v>
      </c>
      <c r="E38" s="72">
        <f>C38*D38</f>
        <v>0</v>
      </c>
      <c r="F38" s="98" t="inlineStr">
        <is>
          <t>-</t>
        </is>
      </c>
      <c r="G38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39" ht="252" customHeight="1" s="59">
      <c r="A39" s="68" t="inlineStr">
        <is>
          <t>Relé OptoMOS LCA110 de IXYS (DIP-6)</t>
        </is>
      </c>
      <c r="B39" s="69" t="inlineStr">
        <is>
          <t>Da la señal en lugar de cada lector óptico (conexión final), comandado directo desde un pin del ESP32</t>
        </is>
      </c>
      <c r="C39" s="70" t="n">
        <v>4</v>
      </c>
      <c r="D39" s="71" t="n">
        <v>6034</v>
      </c>
      <c r="E39" s="72">
        <f>C39*D39</f>
        <v>24136</v>
      </c>
      <c r="F39" s="98" t="inlineStr">
        <is>
          <t>-</t>
        </is>
      </c>
      <c r="G39" s="101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 (cada uno con su propia disposición de patas). Conexión final: el relé en lugar del lector, con una resistencia de protección (diagramas/hardware/conexion_final_rele.png). Comprar 1 y probarlo antes de los otros 3.</t>
        </is>
      </c>
    </row>
    <row r="40" ht="47" customHeight="1" s="59">
      <c r="A40" s="68" t="inlineStr">
        <is>
          <t>Borneras atornillables chicas</t>
        </is>
      </c>
      <c r="B40" s="69" t="inlineStr">
        <is>
          <t>Empalme al cableado del telar sin soldar sobre los cables viejos</t>
        </is>
      </c>
      <c r="C40" s="70" t="n">
        <v>6</v>
      </c>
      <c r="D40" s="109" t="n">
        <v>600</v>
      </c>
      <c r="E40" s="110">
        <f>C40*D40</f>
        <v>3600</v>
      </c>
      <c r="F40" s="98" t="inlineStr">
        <is>
          <t>Comprado en el local</t>
        </is>
      </c>
      <c r="G40" s="130" t="inlineStr">
        <is>
          <t>Para el conexionado de los cuatro canales dentro del gabinete, más repuestos. Las del conector de cada lector son las de 4 vías (abajo).</t>
        </is>
      </c>
    </row>
    <row r="41" ht="33.75" customHeight="1" s="59">
      <c r="A41" s="68" t="inlineStr">
        <is>
          <t>Cable para los 4 canales</t>
        </is>
      </c>
      <c r="B41" s="125" t="inlineStr">
        <is>
          <t>Conexión entre el gabinete y el conector de cada lector</t>
        </is>
      </c>
      <c r="C41" s="70" t="n">
        <v>8</v>
      </c>
      <c r="D41" s="71" t="n">
        <v>700</v>
      </c>
      <c r="E41" s="72">
        <f>C41*D41</f>
        <v>5600</v>
      </c>
      <c r="F41" s="98" t="inlineStr">
        <is>
          <t>-</t>
        </is>
      </c>
      <c r="G41" s="130" t="inlineStr">
        <is>
          <t>Se aprovecha el sobrante del cable del Bloque A. Cantidad a definir según el recorrido real.</t>
        </is>
      </c>
    </row>
    <row r="42" ht="42.75" customHeight="1" s="59">
      <c r="A42" s="68" t="inlineStr">
        <is>
          <t>Resistencia 10kΩ ¼W</t>
        </is>
      </c>
      <c r="B42" s="69" t="inlineStr">
        <is>
          <t>Polarización de las 4 salidas del ESP32 hacia los relés</t>
        </is>
      </c>
      <c r="C42" s="70" t="n">
        <v>4</v>
      </c>
      <c r="D42" s="71" t="n">
        <v>150</v>
      </c>
      <c r="E42" s="72">
        <f>C42*D42</f>
        <v>600</v>
      </c>
      <c r="F42" s="98" t="inlineStr">
        <is>
          <t>Comprado en el local</t>
        </is>
      </c>
      <c r="G42" s="74" t="inlineStr">
        <is>
          <t>Una por canal: polarizan las 4 salidas del ESP32 para el arranque seguro.</t>
        </is>
      </c>
    </row>
    <row r="43" ht="61.75" customHeight="1" s="59">
      <c r="A43" s="68" t="inlineStr">
        <is>
          <t>Resistencia 330 Ω ¼ W</t>
        </is>
      </c>
      <c r="B43" s="125" t="inlineStr">
        <is>
          <t>Limita la corriente del LED de entrada de cada relé LCA110</t>
        </is>
      </c>
      <c r="C43" s="70" t="n">
        <v>4</v>
      </c>
      <c r="D43" s="71" t="n">
        <v>150</v>
      </c>
      <c r="E43" s="110">
        <f>C43*D43</f>
        <v>600</v>
      </c>
      <c r="F43" s="98" t="inlineStr">
        <is>
          <t>Comprado en el local</t>
        </is>
      </c>
      <c r="G43" s="130" t="inlineStr">
        <is>
          <t>Una por canal. Con los 3,3 V del ESP32 entrega unos 6 mA. NO es opcional: sin ella se daña el LED del relé. El SSR de triac no la necesita porque la trae incorporada.</t>
        </is>
      </c>
    </row>
    <row r="44" ht="61.75" customHeight="1" s="59">
      <c r="A44" s="68" t="inlineStr">
        <is>
          <t>Placa experimental (plaqueta) adicional</t>
        </is>
      </c>
      <c r="B44" s="69" t="inlineStr">
        <is>
          <t>Pasar a placa soldada el circuito del Nivel 2 que ya funcionó en protoboard</t>
        </is>
      </c>
      <c r="C44" s="70" t="n">
        <v>1</v>
      </c>
      <c r="D44" s="71" t="n"/>
      <c r="E44" s="72">
        <f>C44*D44</f>
        <v>0</v>
      </c>
      <c r="F44" s="98" t="inlineStr">
        <is>
          <t>-</t>
        </is>
      </c>
      <c r="G44" s="74" t="inlineStr">
        <is>
          <t>Se suma el 10/10/2026: con todo probado en protoboard, se está haciendo la plaqueta para probar todo de manera correcta. Precio a completar.</t>
        </is>
      </c>
    </row>
    <row r="45" ht="33.75" customHeight="1" s="59">
      <c r="A45" s="68" t="inlineStr">
        <is>
          <t>Tira de pines de 2 (2x)</t>
        </is>
      </c>
      <c r="B45" s="69" t="inlineStr">
        <is>
          <t>Conectores enchufables para los cables y módulos de la plaqueta</t>
        </is>
      </c>
      <c r="C45" s="70" t="n">
        <v>19</v>
      </c>
      <c r="D45" s="71" t="n"/>
      <c r="E45" s="72">
        <f>C45*D45</f>
        <v>0</v>
      </c>
      <c r="F45" s="98" t="inlineStr">
        <is>
          <t>-</t>
        </is>
      </c>
      <c r="G45" s="74" t="inlineStr">
        <is>
          <t>Se suma el 10/10/2026. Permiten sacar módulos y cables sin desoldar. Precio a completar.</t>
        </is>
      </c>
    </row>
    <row r="46" ht="33.75" customHeight="1" s="59">
      <c r="A46" s="68" t="inlineStr">
        <is>
          <t>Tira de pines de 5 (5x)</t>
        </is>
      </c>
      <c r="B46" s="69" t="inlineStr">
        <is>
          <t>Conectores enchufables para los cables y módulos de la plaqueta</t>
        </is>
      </c>
      <c r="C46" s="70" t="n">
        <v>6</v>
      </c>
      <c r="D46" s="71" t="n"/>
      <c r="E46" s="72">
        <f>C46*D46</f>
        <v>0</v>
      </c>
      <c r="F46" s="98" t="inlineStr">
        <is>
          <t>-</t>
        </is>
      </c>
      <c r="G46" s="74" t="inlineStr">
        <is>
          <t>Se suma el 10/10/2026. Precio a completar.</t>
        </is>
      </c>
    </row>
    <row r="47" ht="33.75" customHeight="1" s="59">
      <c r="A47" s="68" t="inlineStr">
        <is>
          <t>Tira de pines de 6 (6x)</t>
        </is>
      </c>
      <c r="B47" s="69" t="inlineStr">
        <is>
          <t>Conectores enchufables para los cables y módulos de la plaqueta</t>
        </is>
      </c>
      <c r="C47" s="70" t="n">
        <v>4</v>
      </c>
      <c r="D47" s="71" t="n"/>
      <c r="E47" s="72">
        <f>C47*D47</f>
        <v>0</v>
      </c>
      <c r="F47" s="98" t="inlineStr">
        <is>
          <t>-</t>
        </is>
      </c>
      <c r="G47" s="74" t="inlineStr">
        <is>
          <t>Se suma el 10/10/2026. Precio a completar.</t>
        </is>
      </c>
    </row>
    <row r="48" ht="33.75" customHeight="1" s="59">
      <c r="A48" s="68" t="inlineStr">
        <is>
          <t>Tira de pines de 8 (8x)</t>
        </is>
      </c>
      <c r="B48" s="69" t="inlineStr">
        <is>
          <t>Conectores enchufables para los cables y módulos de la plaqueta</t>
        </is>
      </c>
      <c r="C48" s="70" t="n">
        <v>2</v>
      </c>
      <c r="D48" s="71" t="n"/>
      <c r="E48" s="72">
        <f>C48*D48</f>
        <v>0</v>
      </c>
      <c r="F48" s="98" t="inlineStr">
        <is>
          <t>-</t>
        </is>
      </c>
      <c r="G48" s="74" t="inlineStr">
        <is>
          <t>Se suma el 10/10/2026. Precio a completar.</t>
        </is>
      </c>
    </row>
    <row r="49" ht="45" customHeight="1" s="59">
      <c r="A49" s="68" t="inlineStr">
        <is>
          <t>Zócalo DIP de 6 patas</t>
        </is>
      </c>
      <c r="B49" s="69" t="inlineStr">
        <is>
          <t>Permite cambiar un relé LCA110 sin desoldar</t>
        </is>
      </c>
      <c r="C49" s="70" t="n">
        <v>4</v>
      </c>
      <c r="D49" s="71" t="n"/>
      <c r="E49" s="72">
        <f>C49*D49</f>
        <v>0</v>
      </c>
      <c r="F49" s="98" t="inlineStr">
        <is>
          <t>-</t>
        </is>
      </c>
      <c r="G49" s="74" t="inlineStr">
        <is>
          <t>Se suma el 11/10/2026: el relé va enchufado en el zócalo, con la muesca del lado de la pata 1. Precio a completar.</t>
        </is>
      </c>
    </row>
    <row r="50" ht="91" customHeight="1" s="59">
      <c r="A50" s="68" t="inlineStr">
        <is>
          <t>Resistencia de protección 470 Ω 3 W</t>
        </is>
      </c>
      <c r="B50" s="69" t="inlineStr">
        <is>
          <t>Lado del telar: limita la corriente si hay un error de cableado. Va del + del conector del lector a la pata 4 del relé</t>
        </is>
      </c>
      <c r="C50" s="70" t="n">
        <v>4</v>
      </c>
      <c r="D50" s="71" t="n"/>
      <c r="E50" s="72">
        <f>C50*D50</f>
        <v>0</v>
      </c>
      <c r="F50" s="98" t="inlineStr">
        <is>
          <t>-</t>
        </is>
      </c>
      <c r="G50" s="74" t="inlineStr">
        <is>
          <t>Se suma el 11/10/2026 con la conexión final (la más segura). 220 Ω 2 W si el lector se alimenta con hasta 15 V; 470 Ω 3 W de 15 a 30 V: se elige con la medición. En el C 201 dio entre 15 y 30 V (17/10/2026): van las de 470 Ω 3 W. Precio a completar.</t>
        </is>
      </c>
    </row>
    <row r="51" ht="45" customHeight="1" s="59">
      <c r="A51" s="68" t="inlineStr">
        <is>
          <t>Resistencia 10 kΩ ½ W</t>
        </is>
      </c>
      <c r="B51" s="69" t="inlineStr">
        <is>
          <t>Lado del telar: de la señal al − de cada conector de lector. Con el relé abierto deja la señal en 0 V, como con papel</t>
        </is>
      </c>
      <c r="C51" s="70" t="n">
        <v>4</v>
      </c>
      <c r="D51" s="71" t="n"/>
      <c r="E51" s="72">
        <f>C51*D51</f>
        <v>0</v>
      </c>
      <c r="F51" s="98" t="inlineStr">
        <is>
          <t>-</t>
        </is>
      </c>
      <c r="G51" s="74" t="inlineStr">
        <is>
          <t>Se suma el 11/10/2026 con la conexión final. Una por canal. Precio a completar.</t>
        </is>
      </c>
    </row>
    <row r="52" ht="76.25" customHeight="1" s="59">
      <c r="A52" s="68" t="inlineStr">
        <is>
          <t>Borneras de 4 vías</t>
        </is>
      </c>
      <c r="B52" s="69" t="inlineStr">
        <is>
          <t>Conector de cada lector en la plaqueta del telar, y para dejar aislados los cables del lector</t>
        </is>
      </c>
      <c r="C52" s="70" t="n">
        <v>8</v>
      </c>
      <c r="D52" s="71" t="n"/>
      <c r="E52" s="72">
        <f>C52*D52</f>
        <v>0</v>
      </c>
      <c r="F52" s="98" t="inlineStr">
        <is>
          <t>-</t>
        </is>
      </c>
      <c r="G52" s="74" t="inlineStr">
        <is>
          <t>Se suma el 11/10/2026 con la conexión final. Por canal: una para el conector del lector y otra para dejar aislados y rotulados sus 4 cables, que se vuelven a conectar en minutos. Precio a completar.</t>
        </is>
      </c>
    </row>
    <row r="53" ht="18" customHeight="1" s="59">
      <c r="A53" s="111" t="n"/>
      <c r="B53" s="112" t="inlineStr">
        <is>
          <t>Subtotal bloque</t>
        </is>
      </c>
      <c r="C53" s="87" t="n"/>
      <c r="D53" s="88" t="n"/>
      <c r="E53" s="113">
        <f>SUM(E38:E52)</f>
        <v>34536</v>
      </c>
      <c r="F53" s="114" t="n"/>
      <c r="G53" s="115" t="n"/>
    </row>
    <row r="54" ht="15.75" customHeight="1" s="59"/>
    <row r="55" ht="24" customHeight="1" s="59">
      <c r="A55" s="116" t="inlineStr">
        <is>
          <t>TOTAL DEL PROYECTO COMPLETO (A + C + D)</t>
        </is>
      </c>
      <c r="B55" s="117" t="n"/>
      <c r="C55" s="118" t="n"/>
      <c r="D55" s="118" t="n"/>
      <c r="E55" s="119">
        <f>E21+E34+E53</f>
        <v>122139</v>
      </c>
      <c r="F55" s="120" t="n"/>
      <c r="G55" s="121" t="n"/>
    </row>
    <row r="56" ht="15.75" customHeight="1" s="59"/>
    <row r="57" ht="21.75" customHeight="1" s="59">
      <c r="A57" s="122" t="inlineStr">
        <is>
          <t>• ORDEN DE COMPRA: (1) Bloque A: comprado e instalado en el telar (19/09/2026). (2) Medición de la alimentación y la señal de un lector óptico: hecha el 17/10/2026, entre 15 y 30 V (la velocidad ya está confirmada: 300 pasadas por minuto). (3) Recién entonces el Bloque D, con la conexión final: el relé en lugar del lector, con una resistencia de protección que se elige con esa medición. Estado al 17/10/2026: el Nivel 2 (sensor de pasada y relé LCA110) se probó en protoboard el 10/10/2026 y en el telar el 17/10/2026, con el sensor y el primer canal: funcionó; se están haciendo las plaquetas para la instalación definitiva.</t>
        </is>
      </c>
    </row>
    <row r="58" ht="15.75" customHeight="1" s="59"/>
    <row r="59" ht="15" customHeight="1" s="59"/>
    <row r="60" ht="15" customHeight="1" s="59"/>
    <row r="61" ht="15" customHeight="1" s="59">
      <c r="A61" s="58" t="n"/>
      <c r="C61" s="58" t="n"/>
      <c r="F61" s="58" t="n"/>
    </row>
    <row r="62" ht="15" customHeight="1" s="59"/>
    <row r="63" ht="15" customHeight="1" s="59">
      <c r="A63" s="58" t="n"/>
      <c r="F63" s="58" t="n"/>
    </row>
    <row r="64" ht="15" customHeight="1" s="59"/>
    <row r="65" ht="15.75" customHeight="1" s="59">
      <c r="A65" s="58" t="n"/>
    </row>
    <row r="66" ht="15.75" customHeight="1" s="59">
      <c r="A66" s="58" t="n"/>
    </row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20">
    <mergeCell ref="F63:G63"/>
    <mergeCell ref="A4:G4"/>
    <mergeCell ref="B53:D53"/>
    <mergeCell ref="A63:D63"/>
    <mergeCell ref="A61:B61"/>
    <mergeCell ref="B34:D34"/>
    <mergeCell ref="F21:G21"/>
    <mergeCell ref="A57:B60"/>
    <mergeCell ref="A2:G3"/>
    <mergeCell ref="A55:B55"/>
    <mergeCell ref="A36:G36"/>
    <mergeCell ref="A1:G1"/>
    <mergeCell ref="C61:D61"/>
    <mergeCell ref="A65:G65"/>
    <mergeCell ref="H1:Z3"/>
    <mergeCell ref="H4:Z252"/>
    <mergeCell ref="F61:G61"/>
    <mergeCell ref="A66:G66"/>
    <mergeCell ref="B21:D21"/>
    <mergeCell ref="A23:G23"/>
  </mergeCells>
  <hyperlinks>
    <hyperlink xmlns:r="http://schemas.openxmlformats.org/officeDocument/2006/relationships" ref="F6" display="https://candy-ho.com/producto/nodemcu-esp32-wifi-bluetooth-4-2-iot-wroom-esp32s-arduino/" r:id="rId1"/>
    <hyperlink xmlns:r="http://schemas.openxmlformats.org/officeDocument/2006/relationships" ref="F7" display="https://candy-ho.com/producto/modulo-relay-rele-de-2-canales-5v-10a-arduino-pic-avr-2/" r:id="rId2"/>
    <hyperlink xmlns:r="http://schemas.openxmlformats.org/officeDocument/2006/relationships" ref="F15" display="https://candy-ho.com/producto/tiras-de-40-pines-hembra-paso-2-54mm-recta-1-fila-arduino/   -  https://candy-ho.com/producto/pcb-placa-experimental-doble-7x9-prototipos-electronica-fr4/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2026-10-20T14:28:29Z</dcterms:modified>
  <cp:lastModifiedBy>Juan Ignacio MANFREDO</cp:lastModifiedBy>
  <cp:revision>0</cp:revision>
</cp:coreProperties>
</file>