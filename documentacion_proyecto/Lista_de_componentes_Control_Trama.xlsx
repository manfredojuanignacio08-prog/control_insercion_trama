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onent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<sst xmlns="http://schemas.openxmlformats.org/spreadsheetml/2006/main" count="150" uniqueCount="96">
  <si>
    <t xml:space="preserve">Lista de componentes, Control de Inserción de Trama</t>
  </si>
  <si>
    <t xml:space="preserve">BLOQUE A, Nivel 1: Marcha/Pausa en el telar  (Etapa 4)</t>
  </si>
  <si>
    <t xml:space="preserve">Componente</t>
  </si>
  <si>
    <t xml:space="preserve">Función</t>
  </si>
  <si>
    <t xml:space="preserve">Cant.</t>
  </si>
  <si>
    <t xml:space="preserve">Precio unit.</t>
  </si>
  <si>
    <t xml:space="preserve">Subtotal</t>
  </si>
  <si>
    <t xml:space="preserve">Link</t>
  </si>
  <si>
    <t xml:space="preserve">Notas</t>
  </si>
  <si>
    <t xml:space="preserve">ESP32 (NodeMCU / WROOM-32)</t>
  </si>
  <si>
    <t xml:space="preserve">El cerebro: recibe órdenes por WiFi y dispara los relés</t>
  </si>
  <si>
    <t xml:space="preserve">https://candy-ho.com/producto/nodemcu-esp32-wifi-bluetooth-4-2-iot-wroom-esp32s-arduino/</t>
  </si>
  <si>
    <t xml:space="preserve">Ya se tiene</t>
  </si>
  <si>
    <t xml:space="preserve">Módulos de relé, 3 canales en total (5V, optoacoplado)</t>
  </si>
  <si>
    <t xml:space="preserve">En paralelo a los botones Marcha/Pausa del telar</t>
  </si>
  <si>
    <t xml:space="preserve">https://candy-ho.com/producto/modulo-relay-rele-de-2-canales-5v-10a-arduino-pic-avr-2/</t>
  </si>
  <si>
    <t xml:space="preserve">Un módulo de 2 canales (Marcha/Pausa, activo-bajo) más un módulo individual (Retroceder, activo-alto).</t>
  </si>
  <si>
    <t xml:space="preserve">Módulo fuente HLK-5M05 (220V→5V, 1A)</t>
  </si>
  <si>
    <t xml:space="preserve">Alimenta ESP32 + relés + sensado, independiente del telar</t>
  </si>
  <si>
    <t xml:space="preserve">Comprado en el local</t>
  </si>
  <si>
    <t xml:space="preserve">Optoacoplador PC817</t>
  </si>
  <si>
    <t xml:space="preserve">Aísla el 24V AC del botón del GPIO del ESP32, uno por canal</t>
  </si>
  <si>
    <t xml:space="preserve">Puente rectificador DB157 (1A)</t>
  </si>
  <si>
    <t xml:space="preserve">Convierte el 24V AC del botón en pulsos de DC, antes del PC817</t>
  </si>
  <si>
    <t xml:space="preserve">Resistencia 2,2kΩ 1W</t>
  </si>
  <si>
    <t xml:space="preserve">Limita la corriente hacia el LED del PC817</t>
  </si>
  <si>
    <t xml:space="preserve">Capacitores cerámicos 100nF</t>
  </si>
  <si>
    <t xml:space="preserve">Filtran ruido de alta frecuencia</t>
  </si>
  <si>
    <t xml:space="preserve">Resistencias 10kΩ ¼W</t>
  </si>
  <si>
    <t xml:space="preserve">Pull-ups en IN1/IN2/IN3 (relés) + 2 de sensado Avanzar/Impulso</t>
  </si>
  <si>
    <t xml:space="preserve">Capacitor electrolítico de 220 a 470 µF</t>
  </si>
  <si>
    <t xml:space="preserve">Sostienen ante un consumo brusco</t>
  </si>
  <si>
    <t xml:space="preserve">Cuando la bobina de un relé engancha tira unos 70 mA de golpe, y si en ese instante el ESP32 está transmitiendo por WiFi (que le pide picos de hasta 300 mA), la fuente no responde lo bastante rápido y la tensión cae lo suficiente para reiniciarlo.</t>
  </si>
  <si>
    <t xml:space="preserve">Protoboard de ensayo y cables</t>
  </si>
  <si>
    <t xml:space="preserve">Montaje y conexionado</t>
  </si>
  <si>
    <t xml:space="preserve">https://candy-ho.com/producto/tiras-de-40-pines-hembra-paso-2-54mm-recta-1-fila-arduino/   -  https://candy-ho.com/producto/pcb-placa-experimental-doble-7x9-prototipos-electronica-fr4/</t>
  </si>
  <si>
    <t xml:space="preserve">La protoboard se usa solo en las pruebas de banco: la entrega final va soldada sobre placa universal, según los Lineamientos.</t>
  </si>
  <si>
    <t xml:space="preserve">Caja estanca IP65 Roker 230x300x106mm</t>
  </si>
  <si>
    <t xml:space="preserve">Gabinete del ESP32, relés y fuente, montado junto al telar</t>
  </si>
  <si>
    <t xml:space="preserve">Prensacables PG11</t>
  </si>
  <si>
    <t xml:space="preserve">Entrada/salida de cables sin romper el sellado IP65</t>
  </si>
  <si>
    <t xml:space="preserve">Fusible 1A lento + portafusible</t>
  </si>
  <si>
    <t xml:space="preserve">Protege la entrada de 220V del HLK-5M05 (su datasheet pide 1A)</t>
  </si>
  <si>
    <t xml:space="preserve">Cable multifilar 6 conductores, 1 mm² </t>
  </si>
  <si>
    <t xml:space="preserve">Marcha + Pausa + Retroceder</t>
  </si>
  <si>
    <t xml:space="preserve">Un par por botón: el mismo par alimenta el relé y el sensado. El de 1 mm² además es mecánicamente más robusto frente a la vibración.</t>
  </si>
  <si>
    <t xml:space="preserve">Capacitor electrolítico 22–47 µF 50 V</t>
  </si>
  <si>
    <t xml:space="preserve">Aplana el AC rectificado antes del optoacoplador</t>
  </si>
  <si>
    <t xml:space="preserve"> Sin él, el sensado lee varias pulsaciones donde hubo una sola: es crítico en el canal de Retroceder.</t>
  </si>
  <si>
    <t xml:space="preserve">Subtotal bloque</t>
  </si>
  <si>
    <t xml:space="preserve">BLOQUE C, Sensor de pasada  (INCLUIDO EN ESTA ETAPA)</t>
  </si>
  <si>
    <t xml:space="preserve">Sensor inductivo LJ12A3-4-Z/BX (NPN 6–36V)</t>
  </si>
  <si>
    <t xml:space="preserve">Sensor de pasada recomendado, inmune a la pelusa. Incluye 1 repuesto, esto es lo que le da al ESP32 el "entendimiento" de movimiento y posición del telar</t>
  </si>
  <si>
    <t xml:space="preserve">Ya se tiene. Punto de montaje a determinar con el telar en marcha: qué eje completa un giro por pasada.</t>
  </si>
  <si>
    <t xml:space="preserve">(no aplica) Regulador 7824</t>
  </si>
  <si>
    <t xml:space="preserve">Ya no es necesario: el telar entrega 12 a 14 V continuos, muy por debajo de los 36 V que tolera el sensor</t>
  </si>
  <si>
    <t xml:space="preserve">El error que no podés cometer es pasarte de 36, y el regulador lo hace imposible. El otro extremo no tiene consecuencia.</t>
  </si>
  <si>
    <t xml:space="preserve">Aísla la señal del sensor inductivo (hasta 36V) del GPIO del ESP32</t>
  </si>
  <si>
    <t xml:space="preserve">Uno en uso y uno de repuesto. Mismo componente que el sensado del Bloque A.</t>
  </si>
  <si>
    <t xml:space="preserve">(no aplica) Puente rectificador DB157</t>
  </si>
  <si>
    <t xml:space="preserve">Ya no es necesario para este bloque: la alimentación del sensor ya viene en continua</t>
  </si>
  <si>
    <t xml:space="preserve">Cable 3 conectores (para sensor inductivo)</t>
  </si>
  <si>
    <t xml:space="preserve">Conexión entre el gabinete y los el sensor inductivo</t>
  </si>
  <si>
    <t xml:space="preserve">Resistencia 1,2 kΩ ¼ W</t>
  </si>
  <si>
    <t xml:space="preserve">Limita la corriente del LED del optoacoplador. Con 13 V da unos 10 mA, el valor de trabajo del PC817</t>
  </si>
  <si>
    <t xml:space="preserve">Uno en uso y uno de repuesto.</t>
  </si>
  <si>
    <t xml:space="preserve">Resistencia 10kΩ ¼W</t>
  </si>
  <si>
    <t xml:space="preserve">Pull-up del GPIO del sensor</t>
  </si>
  <si>
    <t xml:space="preserve">Mantiene el pin del ESP32 en nivel alto mientras el sensor no detecta.</t>
  </si>
  <si>
    <t xml:space="preserve">(no aplica) Capacitor cerámico 100 nF</t>
  </si>
  <si>
    <t xml:space="preserve">Acompañaba al regulador, que ya no se usa</t>
  </si>
  <si>
    <t xml:space="preserve">Filtra el ruido del elevador de tensión.</t>
  </si>
  <si>
    <t xml:space="preserve">Blanco metálico y soporte</t>
  </si>
  <si>
    <t xml:space="preserve">Paleta de acero sobre el eje y escuadra de montaje. Soporte ya construido</t>
  </si>
  <si>
    <t xml:space="preserve">A fabricar: escuadra en L tomada de un tornillo existente del chasis, más un tornillo o chapa como blanco metálico.</t>
  </si>
  <si>
    <t xml:space="preserve">BLOQUE D, Nivel 2: BOBINAS DE SELECCIÓN </t>
  </si>
  <si>
    <t xml:space="preserve">Bobinas de selección del telar (YA INSTALADAS)</t>
  </si>
  <si>
    <t xml:space="preserve">El actuador: empuja la palanca de selección. MODELO Y CANTIDAD según la medición (fuerza ≥ el doble de la medida)</t>
  </si>
  <si>
    <t xml:space="preserve">-</t>
  </si>
  <si>
    <t xml:space="preserve">El telar cuenta con 6 bobinas en funcionamiento, confirmado con el dueño el 06/09/26. No hay que comprarlas ni montarlas: el sistema solo interviene la señal del lector óptico que las comanda.</t>
  </si>
  <si>
    <t xml:space="preserve">Relé PhotoMOS Panasonic AQY212GH (DIP-4)</t>
  </si>
  <si>
    <t xml:space="preserve">Corta la señal de cada lector óptico, comandado directo desde un pin del ESP32</t>
  </si>
  <si>
    <t xml:space="preserve">Uno por lector óptico: son 6, uno por bobina de selección, confirmado con el dueño el 06/09/26. Se elige PhotoMOS y NO un SSR de triac: el triac necesita 0,1 A de corriente mínima para mantenerse encendido y la señal del lector probablemente maneje pocos miliamperes, con lo que un SSR no encendería. Además el SSR deja pasar hasta 2 mA apagado, que la plaqueta podría leer como señal presente. IMPORTANTE: la letra final del código define el encapsulado. H = DIP de inserción (el que sirve para la placa perforada), S = montaje superficial. Alternativa: AQY212EH. Comprar 1 y probar antes de los 6.</t>
  </si>
  <si>
    <t xml:space="preserve">Borneras atornillables chicas</t>
  </si>
  <si>
    <t xml:space="preserve">Empalme al cableado del telar sin soldar sobre los cables viejos</t>
  </si>
  <si>
    <t xml:space="preserve">Para el conexionado de los seis canales dentro del gabinete, más repuestos.</t>
  </si>
  <si>
    <t xml:space="preserve">Cable para los 6 canales</t>
  </si>
  <si>
    <t xml:space="preserve">Conexión entre el gabinete y los rele de estado solido</t>
  </si>
  <si>
    <t xml:space="preserve">Se aprovecha el sobrante del cable del Bloque A. Cantidad a definir según el recorrido real.</t>
  </si>
  <si>
    <t xml:space="preserve">Polarización de las 6 salidas del ESP32 hacia los SSR</t>
  </si>
  <si>
    <t xml:space="preserve">Una por canal: polarizan las 6 salidas del ESP32 para el arranque seguro.</t>
  </si>
  <si>
    <t xml:space="preserve">Resistencia 330 Ω ¼ W</t>
  </si>
  <si>
    <t xml:space="preserve">Limita la corriente del LED de entrada de cada relé PhotoMOS</t>
  </si>
  <si>
    <t xml:space="preserve">Una por canal. Con los 3,3 V del ESP32 entrega unos 6 mA. NO es opcional: sin ella se daña el LED del relé. El SSR de triac no la necesita porque la trae incorporada.</t>
  </si>
  <si>
    <t xml:space="preserve">TOTAL DEL PROYECTO COMPLETO (A + C + D)</t>
  </si>
  <si>
    <t xml:space="preserve">• ORDEN DE COMPRA: (1) Bloque A ahora, para la Etapa 4. (2) Medición del telar: velocidad en pasadas por minuto y salida de un lector óptico. (3) Recién entonces los Bloques C y D, cuyos componentes dependen de esa medición.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</si>
</sst>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[$$-2C0A]\ * #,##0.00_-;\-[$$-2C0A]\ * #,##0.00_-;_-[$$-2C0A]\ * \-??_-;_-@"/>
    <numFmt numFmtId="166" formatCode="_-[$$-409]* #,##0.00_ ;_-[$$-409]* \-#,##0.00\ ;_-[$$-409]* \-??_ ;_-@_ "/>
  </numFmts>
  <fonts count="17">
    <font>
      <sz val="11"/>
      <color theme="1"/>
      <name val="IBM Plex San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1E3A5F"/>
      <name val="IBM Plex Sans"/>
      <family val="0"/>
      <charset val="1"/>
    </font>
    <font>
      <i val="true"/>
      <sz val="10"/>
      <color rgb="FF666666"/>
      <name val="IBM Plex Sans"/>
      <family val="0"/>
      <charset val="1"/>
    </font>
    <font>
      <b val="true"/>
      <sz val="15"/>
      <color rgb="FFFFFFFF"/>
      <name val="IBM Plex Sans"/>
      <family val="0"/>
      <charset val="1"/>
    </font>
    <font>
      <b val="true"/>
      <sz val="12"/>
      <color theme="1"/>
      <name val="IBM Plex Sans"/>
      <family val="0"/>
      <charset val="1"/>
    </font>
    <font>
      <sz val="12"/>
      <color theme="1"/>
      <name val="IBM Plex Sans"/>
      <family val="0"/>
      <charset val="1"/>
    </font>
    <font>
      <u val="single"/>
      <sz val="12"/>
      <color rgb="FF0000FF"/>
      <name val="IBM Plex Sans"/>
      <family val="0"/>
      <charset val="1"/>
    </font>
    <font>
      <sz val="13"/>
      <color theme="1"/>
      <name val="IBM Plex Sans"/>
      <family val="0"/>
      <charset val="1"/>
    </font>
    <font>
      <b val="true"/>
      <sz val="15"/>
      <color theme="1"/>
      <name val="IBM Plex Sans"/>
      <family val="0"/>
      <charset val="1"/>
    </font>
    <font>
      <b val="true"/>
      <sz val="14"/>
      <color theme="1"/>
      <name val="IBM Plex Sans"/>
      <family val="0"/>
      <charset val="1"/>
    </font>
    <font>
      <sz val="12"/>
      <color rgb="FF000000"/>
      <name val="IBM Plex Sans"/>
      <family val="0"/>
      <charset val="1"/>
    </font>
    <font>
      <b val="true"/>
      <sz val="16"/>
      <color rgb="FFFFFFFF"/>
      <name val="IBM Plex Sans"/>
      <family val="0"/>
      <charset val="1"/>
    </font>
    <font>
      <b val="true"/>
      <sz val="15"/>
      <color rgb="FF1E3A5F"/>
      <name val="IBM Plex Sans"/>
      <family val="0"/>
      <charset val="1"/>
    </font>
    <font>
      <i val="true"/>
      <sz val="9"/>
      <color rgb="FF555555"/>
      <name val="IBM Plex San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>
        <color rgb="FFB7B7B7"/>
      </right>
      <top/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 diagonalUp="false" diagonalDown="false">
      <left style="thin">
        <color rgb="FFB7B7B7"/>
      </left>
      <right style="medium"/>
      <top/>
      <bottom style="thin">
        <color rgb="FFB7B7B7"/>
      </bottom>
      <diagonal/>
    </border>
    <border diagonalUp="false" diagonalDown="false"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 diagonalUp="false" diagonalDown="false">
      <left style="medium"/>
      <right/>
      <top style="thin">
        <color rgb="FFB7B7B7"/>
      </top>
      <bottom style="medium"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 diagonalUp="false" diagonalDown="false">
      <left style="thin">
        <color rgb="FFB7B7B7"/>
      </left>
      <right style="medium"/>
      <top style="thin">
        <color rgb="FFB7B7B7"/>
      </top>
      <bottom style="medium"/>
      <diagonal/>
    </border>
    <border diagonalUp="false" diagonalDown="false">
      <left style="medium"/>
      <right style="medium"/>
      <top style="medium"/>
      <bottom style="thin">
        <color rgb="FFB7B7B7"/>
      </bottom>
      <diagonal/>
    </border>
    <border diagonalUp="false" diagonalDown="false">
      <left style="medium"/>
      <right style="thin">
        <color rgb="FFB7B7B7"/>
      </right>
      <top style="thin">
        <color rgb="FFB7B7B7"/>
      </top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4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5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5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5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andy-ho.com/producto/nodemcu-esp32-wifi-bluetooth-4-2-iot-wroom-esp32s-arduino/" TargetMode="External"/><Relationship Id="rId2" Type="http://schemas.openxmlformats.org/officeDocument/2006/relationships/hyperlink" Target="https://candy-ho.com/producto/modulo-relay-rele-de-2-canales-5v-10a-arduino-pic-avr-2/" TargetMode="External"/><Relationship Id="rId3" Type="http://schemas.openxmlformats.org/officeDocument/2006/relationships/hyperlink" Target="https://candy-ho.com/producto/pcb-placa-experimental-doble-7x9-prototipos-electronica-fr4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defaultColWidth="12.6640625" defaultRowHeight="15" zeroHeight="false" outlineLevelRow="0" outlineLevelCol="0"/>
  <cols>
    <col collapsed="false" customWidth="true" hidden="false" outlineLevel="0" max="1" min="1" style="1" width="55.33"/>
    <col collapsed="false" customWidth="true" hidden="false" outlineLevel="0" max="2" min="2" style="1" width="57.11"/>
    <col collapsed="false" customWidth="true" hidden="false" outlineLevel="0" max="3" min="3" style="1" width="7"/>
    <col collapsed="false" customWidth="true" hidden="false" outlineLevel="0" max="4" min="4" style="1" width="16.89"/>
    <col collapsed="false" customWidth="true" hidden="false" outlineLevel="0" max="5" min="5" style="1" width="20.11"/>
    <col collapsed="false" customWidth="true" hidden="false" outlineLevel="0" max="6" min="6" style="1" width="36.11"/>
    <col collapsed="false" customWidth="true" hidden="false" outlineLevel="0" max="7" min="7" style="1" width="50.22"/>
    <col collapsed="false" customWidth="true" hidden="false" outlineLevel="0" max="26" min="8" style="1" width="8.78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.75" hidden="true" customHeight="true" outlineLevel="0" collapsed="false">
      <c r="A2" s="4"/>
      <c r="B2" s="4"/>
      <c r="C2" s="4"/>
      <c r="D2" s="4"/>
      <c r="E2" s="4"/>
      <c r="F2" s="4"/>
      <c r="G2" s="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4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9.5" hidden="false" customHeight="true" outlineLevel="0" collapsed="false">
      <c r="A4" s="5" t="s">
        <v>1</v>
      </c>
      <c r="B4" s="5"/>
      <c r="C4" s="5"/>
      <c r="D4" s="5"/>
      <c r="E4" s="5"/>
      <c r="F4" s="5"/>
      <c r="G4" s="5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5" hidden="false" customHeight="true" outlineLevel="0" collapsed="false">
      <c r="A5" s="6" t="s">
        <v>2</v>
      </c>
      <c r="B5" s="7" t="s">
        <v>3</v>
      </c>
      <c r="C5" s="7" t="s">
        <v>4</v>
      </c>
      <c r="D5" s="7" t="s">
        <v>5</v>
      </c>
      <c r="E5" s="7" t="s">
        <v>6</v>
      </c>
      <c r="F5" s="7" t="s">
        <v>7</v>
      </c>
      <c r="G5" s="8" t="s">
        <v>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7.25" hidden="false" customHeight="true" outlineLevel="0" collapsed="false">
      <c r="A6" s="9" t="s">
        <v>9</v>
      </c>
      <c r="B6" s="10" t="s">
        <v>10</v>
      </c>
      <c r="C6" s="11" t="n">
        <v>1</v>
      </c>
      <c r="D6" s="12" t="n">
        <v>12203</v>
      </c>
      <c r="E6" s="13" t="n">
        <f aca="false">C6*D6</f>
        <v>12203</v>
      </c>
      <c r="F6" s="14" t="s">
        <v>11</v>
      </c>
      <c r="G6" s="15" t="s">
        <v>12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48.75" hidden="false" customHeight="true" outlineLevel="0" collapsed="false">
      <c r="A7" s="9" t="s">
        <v>13</v>
      </c>
      <c r="B7" s="10" t="s">
        <v>14</v>
      </c>
      <c r="C7" s="11" t="n">
        <v>1</v>
      </c>
      <c r="D7" s="12" t="n">
        <v>5000</v>
      </c>
      <c r="E7" s="13" t="n">
        <f aca="false">C7*D7</f>
        <v>5000</v>
      </c>
      <c r="F7" s="14" t="s">
        <v>15</v>
      </c>
      <c r="G7" s="15" t="s">
        <v>16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5" hidden="false" customHeight="true" outlineLevel="0" collapsed="false">
      <c r="A8" s="16" t="s">
        <v>17</v>
      </c>
      <c r="B8" s="17" t="s">
        <v>18</v>
      </c>
      <c r="C8" s="18" t="n">
        <v>1</v>
      </c>
      <c r="D8" s="19" t="n">
        <v>7000</v>
      </c>
      <c r="E8" s="20" t="n">
        <f aca="false">C8*D8</f>
        <v>7000</v>
      </c>
      <c r="F8" s="21" t="s">
        <v>19</v>
      </c>
      <c r="G8" s="15" t="s">
        <v>12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5" hidden="false" customHeight="true" outlineLevel="0" collapsed="false">
      <c r="A9" s="16" t="s">
        <v>20</v>
      </c>
      <c r="B9" s="17" t="s">
        <v>21</v>
      </c>
      <c r="C9" s="18" t="n">
        <v>3</v>
      </c>
      <c r="D9" s="19" t="n">
        <v>500</v>
      </c>
      <c r="E9" s="20" t="n">
        <f aca="false">C9*D9</f>
        <v>1500</v>
      </c>
      <c r="F9" s="21" t="s">
        <v>19</v>
      </c>
      <c r="G9" s="15" t="s">
        <v>12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5" hidden="false" customHeight="true" outlineLevel="0" collapsed="false">
      <c r="A10" s="16" t="s">
        <v>22</v>
      </c>
      <c r="B10" s="17" t="s">
        <v>23</v>
      </c>
      <c r="C10" s="18" t="n">
        <v>3</v>
      </c>
      <c r="D10" s="19" t="n">
        <v>500</v>
      </c>
      <c r="E10" s="20" t="n">
        <f aca="false">C10*D10</f>
        <v>1500</v>
      </c>
      <c r="F10" s="21" t="s">
        <v>19</v>
      </c>
      <c r="G10" s="15" t="s">
        <v>12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5" hidden="false" customHeight="true" outlineLevel="0" collapsed="false">
      <c r="A11" s="16" t="s">
        <v>24</v>
      </c>
      <c r="B11" s="17" t="s">
        <v>25</v>
      </c>
      <c r="C11" s="18" t="n">
        <v>3</v>
      </c>
      <c r="D11" s="22" t="n">
        <v>150</v>
      </c>
      <c r="E11" s="23" t="n">
        <f aca="false">C11*D11</f>
        <v>450</v>
      </c>
      <c r="F11" s="21" t="s">
        <v>19</v>
      </c>
      <c r="G11" s="15" t="s">
        <v>12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5" hidden="false" customHeight="true" outlineLevel="0" collapsed="false">
      <c r="A12" s="9" t="s">
        <v>26</v>
      </c>
      <c r="B12" s="10" t="s">
        <v>27</v>
      </c>
      <c r="C12" s="11" t="n">
        <v>3</v>
      </c>
      <c r="D12" s="12" t="n">
        <v>300</v>
      </c>
      <c r="E12" s="13" t="n">
        <f aca="false">C12*D12</f>
        <v>900</v>
      </c>
      <c r="F12" s="21" t="s">
        <v>19</v>
      </c>
      <c r="G12" s="15" t="s">
        <v>12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30.75" hidden="false" customHeight="true" outlineLevel="0" collapsed="false">
      <c r="A13" s="9" t="s">
        <v>28</v>
      </c>
      <c r="B13" s="10" t="s">
        <v>29</v>
      </c>
      <c r="C13" s="11" t="n">
        <v>6</v>
      </c>
      <c r="D13" s="12" t="n">
        <v>150</v>
      </c>
      <c r="E13" s="13" t="n">
        <f aca="false">C13*D13</f>
        <v>900</v>
      </c>
      <c r="F13" s="21" t="s">
        <v>19</v>
      </c>
      <c r="G13" s="15" t="s">
        <v>12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45.75" hidden="false" customHeight="true" outlineLevel="0" collapsed="false">
      <c r="A14" s="9" t="s">
        <v>30</v>
      </c>
      <c r="B14" s="10" t="s">
        <v>31</v>
      </c>
      <c r="C14" s="11" t="n">
        <v>1</v>
      </c>
      <c r="D14" s="12" t="n">
        <v>300</v>
      </c>
      <c r="E14" s="13" t="n">
        <f aca="false">C14*D14</f>
        <v>300</v>
      </c>
      <c r="F14" s="21" t="s">
        <v>19</v>
      </c>
      <c r="G14" s="24" t="s">
        <v>32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45.75" hidden="false" customHeight="true" outlineLevel="0" collapsed="false">
      <c r="A15" s="9" t="s">
        <v>33</v>
      </c>
      <c r="B15" s="10" t="s">
        <v>34</v>
      </c>
      <c r="C15" s="11" t="n">
        <v>1</v>
      </c>
      <c r="D15" s="12" t="n">
        <v>15000</v>
      </c>
      <c r="E15" s="13" t="n">
        <f aca="false">C15*D15</f>
        <v>15000</v>
      </c>
      <c r="F15" s="14" t="s">
        <v>35</v>
      </c>
      <c r="G15" s="15" t="s">
        <v>36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5" hidden="false" customHeight="true" outlineLevel="0" collapsed="false">
      <c r="A16" s="9" t="s">
        <v>37</v>
      </c>
      <c r="B16" s="10" t="s">
        <v>38</v>
      </c>
      <c r="C16" s="11" t="n">
        <v>1</v>
      </c>
      <c r="D16" s="12" t="n">
        <v>16000</v>
      </c>
      <c r="E16" s="13" t="n">
        <f aca="false">C16*D16</f>
        <v>16000</v>
      </c>
      <c r="F16" s="21" t="s">
        <v>19</v>
      </c>
      <c r="G16" s="15" t="s">
        <v>12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5" hidden="false" customHeight="true" outlineLevel="0" collapsed="false">
      <c r="A17" s="9" t="s">
        <v>39</v>
      </c>
      <c r="B17" s="10" t="s">
        <v>40</v>
      </c>
      <c r="C17" s="11" t="n">
        <v>4</v>
      </c>
      <c r="D17" s="12" t="n">
        <v>800</v>
      </c>
      <c r="E17" s="13" t="n">
        <f aca="false">C17*D17</f>
        <v>3200</v>
      </c>
      <c r="F17" s="21" t="s">
        <v>19</v>
      </c>
      <c r="G17" s="15" t="s">
        <v>12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5" hidden="false" customHeight="true" outlineLevel="0" collapsed="false">
      <c r="A18" s="9" t="s">
        <v>41</v>
      </c>
      <c r="B18" s="10" t="s">
        <v>42</v>
      </c>
      <c r="C18" s="11" t="n">
        <v>1</v>
      </c>
      <c r="D18" s="12" t="n">
        <v>1000</v>
      </c>
      <c r="E18" s="13" t="n">
        <f aca="false">C18*D18</f>
        <v>1000</v>
      </c>
      <c r="F18" s="21" t="s">
        <v>19</v>
      </c>
      <c r="G18" s="15" t="s">
        <v>12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45.75" hidden="false" customHeight="true" outlineLevel="0" collapsed="false">
      <c r="A19" s="9" t="s">
        <v>43</v>
      </c>
      <c r="B19" s="10" t="s">
        <v>44</v>
      </c>
      <c r="C19" s="11" t="n">
        <v>3</v>
      </c>
      <c r="D19" s="12" t="n">
        <v>2500</v>
      </c>
      <c r="E19" s="13" t="n">
        <f aca="false">C19*D19</f>
        <v>7500</v>
      </c>
      <c r="F19" s="21" t="s">
        <v>19</v>
      </c>
      <c r="G19" s="15" t="s">
        <v>45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5.75" hidden="false" customHeight="true" outlineLevel="0" collapsed="false">
      <c r="A20" s="9" t="s">
        <v>46</v>
      </c>
      <c r="B20" s="17" t="s">
        <v>47</v>
      </c>
      <c r="C20" s="11" t="n">
        <v>3</v>
      </c>
      <c r="D20" s="19" t="n">
        <v>400</v>
      </c>
      <c r="E20" s="13" t="n">
        <f aca="false">C20*D20</f>
        <v>1200</v>
      </c>
      <c r="F20" s="21" t="s">
        <v>19</v>
      </c>
      <c r="G20" s="25" t="s">
        <v>48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9.5" hidden="false" customHeight="true" outlineLevel="0" collapsed="false">
      <c r="A21" s="26"/>
      <c r="B21" s="27" t="s">
        <v>49</v>
      </c>
      <c r="C21" s="27"/>
      <c r="D21" s="27"/>
      <c r="E21" s="28" t="n">
        <f aca="false">SUM(E6:E20)</f>
        <v>73653</v>
      </c>
      <c r="F21" s="29"/>
      <c r="G21" s="29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5.75" hidden="false" customHeight="true" outlineLevel="0" collapsed="false"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8.75" hidden="false" customHeight="true" outlineLevel="0" collapsed="false">
      <c r="A23" s="30" t="s">
        <v>50</v>
      </c>
      <c r="B23" s="30"/>
      <c r="C23" s="30"/>
      <c r="D23" s="30"/>
      <c r="E23" s="30"/>
      <c r="F23" s="30"/>
      <c r="G23" s="30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5.75" hidden="false" customHeight="true" outlineLevel="0" collapsed="false">
      <c r="A24" s="31" t="s">
        <v>2</v>
      </c>
      <c r="B24" s="32" t="s">
        <v>3</v>
      </c>
      <c r="C24" s="32" t="s">
        <v>4</v>
      </c>
      <c r="D24" s="32" t="s">
        <v>5</v>
      </c>
      <c r="E24" s="32" t="s">
        <v>6</v>
      </c>
      <c r="F24" s="32" t="s">
        <v>7</v>
      </c>
      <c r="G24" s="33" t="s">
        <v>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53.25" hidden="false" customHeight="true" outlineLevel="0" collapsed="false">
      <c r="A25" s="9" t="s">
        <v>51</v>
      </c>
      <c r="B25" s="10" t="s">
        <v>52</v>
      </c>
      <c r="C25" s="11" t="n">
        <v>1</v>
      </c>
      <c r="D25" s="12" t="n">
        <v>7000</v>
      </c>
      <c r="E25" s="13" t="n">
        <f aca="false">C25*D25</f>
        <v>7000</v>
      </c>
      <c r="F25" s="34" t="s">
        <v>19</v>
      </c>
      <c r="G25" s="15" t="s">
        <v>53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29.25" hidden="false" customHeight="true" outlineLevel="0" collapsed="false">
      <c r="A26" s="9" t="s">
        <v>54</v>
      </c>
      <c r="B26" s="35" t="s">
        <v>55</v>
      </c>
      <c r="C26" s="11" t="n">
        <v>0</v>
      </c>
      <c r="D26" s="12" t="n">
        <v>2000</v>
      </c>
      <c r="E26" s="13" t="n">
        <f aca="false">C26*D26</f>
        <v>0</v>
      </c>
      <c r="F26" s="34" t="s">
        <v>19</v>
      </c>
      <c r="G26" s="1" t="s">
        <v>56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29.25" hidden="false" customHeight="true" outlineLevel="0" collapsed="false">
      <c r="A27" s="9" t="s">
        <v>20</v>
      </c>
      <c r="B27" s="35" t="s">
        <v>57</v>
      </c>
      <c r="C27" s="11" t="n">
        <v>2</v>
      </c>
      <c r="D27" s="12" t="n">
        <v>700</v>
      </c>
      <c r="E27" s="13" t="n">
        <f aca="false">C27*D27</f>
        <v>1400</v>
      </c>
      <c r="F27" s="34" t="s">
        <v>19</v>
      </c>
      <c r="G27" s="36" t="s">
        <v>58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22.5" hidden="false" customHeight="true" outlineLevel="0" collapsed="false">
      <c r="A28" s="9" t="s">
        <v>59</v>
      </c>
      <c r="B28" s="21" t="s">
        <v>60</v>
      </c>
      <c r="C28" s="11" t="n">
        <v>0</v>
      </c>
      <c r="D28" s="12" t="n">
        <v>500</v>
      </c>
      <c r="E28" s="13" t="n">
        <f aca="false">C28*D28</f>
        <v>0</v>
      </c>
      <c r="F28" s="34" t="s">
        <v>19</v>
      </c>
      <c r="G28" s="15" t="s">
        <v>12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22.5" hidden="false" customHeight="true" outlineLevel="0" collapsed="false">
      <c r="A29" s="9" t="s">
        <v>61</v>
      </c>
      <c r="B29" s="21" t="s">
        <v>62</v>
      </c>
      <c r="C29" s="11" t="n">
        <v>3</v>
      </c>
      <c r="D29" s="12" t="n">
        <v>1700</v>
      </c>
      <c r="E29" s="13" t="n">
        <f aca="false">C29*D29</f>
        <v>5100</v>
      </c>
      <c r="F29" s="34" t="s">
        <v>19</v>
      </c>
      <c r="G29" s="15" t="s">
        <v>12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22.5" hidden="false" customHeight="true" outlineLevel="0" collapsed="false">
      <c r="A30" s="9" t="s">
        <v>63</v>
      </c>
      <c r="B30" s="10" t="s">
        <v>64</v>
      </c>
      <c r="C30" s="11" t="n">
        <v>2</v>
      </c>
      <c r="D30" s="12" t="n">
        <v>150</v>
      </c>
      <c r="E30" s="13" t="n">
        <f aca="false">C30*D30</f>
        <v>300</v>
      </c>
      <c r="F30" s="34" t="s">
        <v>19</v>
      </c>
      <c r="G30" s="36" t="s">
        <v>65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28.5" hidden="false" customHeight="true" outlineLevel="0" collapsed="false">
      <c r="A31" s="9" t="s">
        <v>66</v>
      </c>
      <c r="B31" s="10" t="s">
        <v>67</v>
      </c>
      <c r="C31" s="11" t="n">
        <v>1</v>
      </c>
      <c r="D31" s="12" t="n">
        <v>150</v>
      </c>
      <c r="E31" s="13" t="n">
        <f aca="false">C31*D31</f>
        <v>150</v>
      </c>
      <c r="F31" s="34" t="s">
        <v>19</v>
      </c>
      <c r="G31" s="36" t="s">
        <v>68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25.5" hidden="false" customHeight="true" outlineLevel="0" collapsed="false">
      <c r="A32" s="9" t="s">
        <v>69</v>
      </c>
      <c r="B32" s="10" t="s">
        <v>70</v>
      </c>
      <c r="C32" s="11" t="n">
        <v>0</v>
      </c>
      <c r="D32" s="12" t="n">
        <v>300</v>
      </c>
      <c r="E32" s="13" t="n">
        <f aca="false">C32*D32</f>
        <v>0</v>
      </c>
      <c r="F32" s="34" t="s">
        <v>19</v>
      </c>
      <c r="G32" s="36" t="s">
        <v>71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51.75" hidden="false" customHeight="true" outlineLevel="0" collapsed="false">
      <c r="A33" s="9" t="s">
        <v>72</v>
      </c>
      <c r="B33" s="10" t="s">
        <v>73</v>
      </c>
      <c r="C33" s="11" t="n">
        <v>0</v>
      </c>
      <c r="D33" s="12" t="n">
        <v>0</v>
      </c>
      <c r="E33" s="13" t="n">
        <f aca="false">C33*D33</f>
        <v>0</v>
      </c>
      <c r="F33" s="34" t="s">
        <v>19</v>
      </c>
      <c r="G33" s="37" t="s">
        <v>74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20.25" hidden="false" customHeight="true" outlineLevel="0" collapsed="false">
      <c r="A34" s="38"/>
      <c r="B34" s="27" t="s">
        <v>49</v>
      </c>
      <c r="C34" s="27"/>
      <c r="D34" s="27"/>
      <c r="E34" s="39" t="n">
        <f aca="false">SUM(E25:E33)</f>
        <v>13950</v>
      </c>
      <c r="F34" s="40"/>
      <c r="G34" s="29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5.75" hidden="false" customHeight="true" outlineLevel="0" collapsed="false"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20.25" hidden="false" customHeight="true" outlineLevel="0" collapsed="false">
      <c r="A36" s="30" t="s">
        <v>75</v>
      </c>
      <c r="B36" s="30"/>
      <c r="C36" s="30"/>
      <c r="D36" s="30"/>
      <c r="E36" s="30"/>
      <c r="F36" s="30"/>
      <c r="G36" s="30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5.75" hidden="false" customHeight="true" outlineLevel="0" collapsed="false">
      <c r="A37" s="41" t="s">
        <v>2</v>
      </c>
      <c r="B37" s="42" t="s">
        <v>3</v>
      </c>
      <c r="C37" s="42" t="s">
        <v>4</v>
      </c>
      <c r="D37" s="42" t="s">
        <v>5</v>
      </c>
      <c r="E37" s="42" t="s">
        <v>6</v>
      </c>
      <c r="F37" s="42" t="s">
        <v>7</v>
      </c>
      <c r="G37" s="43" t="s">
        <v>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48" hidden="false" customHeight="true" outlineLevel="0" collapsed="false">
      <c r="A38" s="9" t="s">
        <v>76</v>
      </c>
      <c r="B38" s="10" t="s">
        <v>77</v>
      </c>
      <c r="C38" s="11" t="n">
        <v>6</v>
      </c>
      <c r="D38" s="12" t="n">
        <v>0</v>
      </c>
      <c r="E38" s="13" t="n">
        <f aca="false">C38*D38</f>
        <v>0</v>
      </c>
      <c r="F38" s="34" t="s">
        <v>78</v>
      </c>
      <c r="G38" s="44" t="s">
        <v>79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45" hidden="false" customHeight="true" outlineLevel="0" collapsed="false">
      <c r="A39" s="9" t="s">
        <v>80</v>
      </c>
      <c r="B39" s="10" t="s">
        <v>81</v>
      </c>
      <c r="C39" s="11" t="n">
        <v>6</v>
      </c>
      <c r="D39" s="12" t="n">
        <v>3700</v>
      </c>
      <c r="E39" s="13" t="n">
        <f aca="false">C39*D39</f>
        <v>22200</v>
      </c>
      <c r="F39" s="34" t="s">
        <v>78</v>
      </c>
      <c r="G39" s="37" t="s">
        <v>82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33.75" hidden="false" customHeight="true" outlineLevel="0" collapsed="false">
      <c r="A40" s="9" t="s">
        <v>83</v>
      </c>
      <c r="B40" s="10" t="s">
        <v>84</v>
      </c>
      <c r="C40" s="11" t="n">
        <v>8</v>
      </c>
      <c r="D40" s="45" t="n">
        <v>600</v>
      </c>
      <c r="E40" s="46" t="n">
        <f aca="false">C40*D40</f>
        <v>4800</v>
      </c>
      <c r="F40" s="34" t="s">
        <v>19</v>
      </c>
      <c r="G40" s="36" t="s">
        <v>85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33.75" hidden="false" customHeight="true" outlineLevel="0" collapsed="false">
      <c r="A41" s="9" t="s">
        <v>86</v>
      </c>
      <c r="B41" s="21" t="s">
        <v>87</v>
      </c>
      <c r="C41" s="11" t="n">
        <v>11</v>
      </c>
      <c r="D41" s="12" t="n">
        <v>700</v>
      </c>
      <c r="E41" s="13" t="n">
        <f aca="false">C41*D41</f>
        <v>7700</v>
      </c>
      <c r="F41" s="34" t="s">
        <v>78</v>
      </c>
      <c r="G41" s="36" t="s">
        <v>88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42.75" hidden="false" customHeight="true" outlineLevel="0" collapsed="false">
      <c r="A42" s="9" t="s">
        <v>66</v>
      </c>
      <c r="B42" s="10" t="s">
        <v>89</v>
      </c>
      <c r="C42" s="11" t="n">
        <v>6</v>
      </c>
      <c r="D42" s="12" t="n">
        <v>150</v>
      </c>
      <c r="E42" s="13" t="n">
        <f aca="false">C42*D42</f>
        <v>900</v>
      </c>
      <c r="F42" s="34" t="s">
        <v>19</v>
      </c>
      <c r="G42" s="15" t="s">
        <v>90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21.75" hidden="false" customHeight="true" outlineLevel="0" collapsed="false">
      <c r="A43" s="9" t="s">
        <v>91</v>
      </c>
      <c r="B43" s="21" t="s">
        <v>92</v>
      </c>
      <c r="C43" s="11" t="n">
        <v>6</v>
      </c>
      <c r="D43" s="12" t="n">
        <v>150</v>
      </c>
      <c r="E43" s="46" t="n">
        <f aca="false">C43*D43</f>
        <v>900</v>
      </c>
      <c r="F43" s="34" t="s">
        <v>19</v>
      </c>
      <c r="G43" s="36" t="s">
        <v>93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8" hidden="false" customHeight="true" outlineLevel="0" collapsed="false">
      <c r="A44" s="47"/>
      <c r="B44" s="48" t="s">
        <v>49</v>
      </c>
      <c r="C44" s="48"/>
      <c r="D44" s="48"/>
      <c r="E44" s="49" t="n">
        <f aca="false">SUM(E38:E43)</f>
        <v>36500</v>
      </c>
      <c r="F44" s="50"/>
      <c r="G44" s="51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5.75" hidden="false" customHeight="true" outlineLevel="0" collapsed="false"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24" hidden="false" customHeight="true" outlineLevel="0" collapsed="false">
      <c r="A46" s="52" t="s">
        <v>94</v>
      </c>
      <c r="B46" s="52"/>
      <c r="C46" s="53"/>
      <c r="D46" s="53"/>
      <c r="E46" s="54" t="n">
        <f aca="false">E21+E34+E44</f>
        <v>124103</v>
      </c>
      <c r="F46" s="55"/>
      <c r="G46" s="56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.75" hidden="false" customHeight="true" outlineLevel="0" collapsed="false"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21.75" hidden="false" customHeight="true" outlineLevel="0" collapsed="false">
      <c r="A48" s="57" t="s">
        <v>95</v>
      </c>
      <c r="B48" s="57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5.75" hidden="false" customHeight="true" outlineLevel="0" collapsed="false">
      <c r="A49" s="57"/>
      <c r="B49" s="57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5" hidden="false" customHeight="true" outlineLevel="0" collapsed="false">
      <c r="A50" s="57"/>
      <c r="B50" s="57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" hidden="false" customHeight="true" outlineLevel="0" collapsed="false">
      <c r="A51" s="57"/>
      <c r="B51" s="57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" hidden="false" customHeight="true" outlineLevel="0" collapsed="false">
      <c r="A52" s="3"/>
      <c r="B52" s="3"/>
      <c r="C52" s="3"/>
      <c r="D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" hidden="false" customHeight="true" outlineLevel="0" collapsed="false"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" hidden="false" customHeight="true" outlineLevel="0" collapsed="false">
      <c r="A54" s="3"/>
      <c r="B54" s="3"/>
      <c r="C54" s="3"/>
      <c r="D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" hidden="false" customHeight="true" outlineLevel="0" collapsed="false"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true" outlineLevel="0" collapsed="false"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true" outlineLevel="0" collapsed="false"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true" outlineLevel="0" collapsed="false"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true" outlineLevel="0" collapsed="false"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true" outlineLevel="0" collapsed="false"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true" outlineLevel="0" collapsed="false"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true" outlineLevel="0" collapsed="false"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true" outlineLevel="0" collapsed="false"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true" outlineLevel="0" collapsed="false"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true" outlineLevel="0" collapsed="false"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true" outlineLevel="0" collapsed="false"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true" outlineLevel="0" collapsed="false"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true" outlineLevel="0" collapsed="false"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true" outlineLevel="0" collapsed="false"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true" outlineLevel="0" collapsed="false"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true" outlineLevel="0" collapsed="false"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true" outlineLevel="0" collapsed="false"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true" outlineLevel="0" collapsed="false"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true" outlineLevel="0" collapsed="false"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true" outlineLevel="0" collapsed="false"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true" outlineLevel="0" collapsed="false"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true" outlineLevel="0" collapsed="false"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true" outlineLevel="0" collapsed="false"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true" outlineLevel="0" collapsed="false"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true" outlineLevel="0" collapsed="false"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true" outlineLevel="0" collapsed="false"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true" outlineLevel="0" collapsed="false"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true" outlineLevel="0" collapsed="false"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true" outlineLevel="0" collapsed="false"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true" outlineLevel="0" collapsed="false"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true" outlineLevel="0" collapsed="false"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true" outlineLevel="0" collapsed="false"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true" outlineLevel="0" collapsed="false"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true" outlineLevel="0" collapsed="false"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true" outlineLevel="0" collapsed="false"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true" outlineLevel="0" collapsed="false"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true" outlineLevel="0" collapsed="false"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true" outlineLevel="0" collapsed="false"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true" outlineLevel="0" collapsed="false"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true" outlineLevel="0" collapsed="false"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true" outlineLevel="0" collapsed="false"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true" outlineLevel="0" collapsed="false"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true" outlineLevel="0" collapsed="false"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true" outlineLevel="0" collapsed="false"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true" outlineLevel="0" collapsed="false"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true" outlineLevel="0" collapsed="false"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true" outlineLevel="0" collapsed="false"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true" outlineLevel="0" collapsed="false"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true" outlineLevel="0" collapsed="false"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true" outlineLevel="0" collapsed="false"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true" outlineLevel="0" collapsed="false"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true" outlineLevel="0" collapsed="false"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true" outlineLevel="0" collapsed="false"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true" outlineLevel="0" collapsed="false"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true" outlineLevel="0" collapsed="false"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true" outlineLevel="0" collapsed="false"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true" outlineLevel="0" collapsed="false"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true" outlineLevel="0" collapsed="false"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true" outlineLevel="0" collapsed="false"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true" outlineLevel="0" collapsed="false"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true" outlineLevel="0" collapsed="false"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true" outlineLevel="0" collapsed="false"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true" outlineLevel="0" collapsed="false"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true" outlineLevel="0" collapsed="false"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true" outlineLevel="0" collapsed="false"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true" outlineLevel="0" collapsed="false"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true" outlineLevel="0" collapsed="false"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true" outlineLevel="0" collapsed="false"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true" outlineLevel="0" collapsed="false"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true" outlineLevel="0" collapsed="false"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true" outlineLevel="0" collapsed="false"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true" outlineLevel="0" collapsed="false"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true" outlineLevel="0" collapsed="false"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true" outlineLevel="0" collapsed="false"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true" outlineLevel="0" collapsed="false"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true" outlineLevel="0" collapsed="false"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true" outlineLevel="0" collapsed="false"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true" outlineLevel="0" collapsed="false"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true" outlineLevel="0" collapsed="false"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true" outlineLevel="0" collapsed="false"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true" outlineLevel="0" collapsed="false"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true" outlineLevel="0" collapsed="false"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true" outlineLevel="0" collapsed="false"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true" outlineLevel="0" collapsed="false"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true" outlineLevel="0" collapsed="false"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true" outlineLevel="0" collapsed="false"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true" outlineLevel="0" collapsed="false"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true" outlineLevel="0" collapsed="false"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true" outlineLevel="0" collapsed="false"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true" outlineLevel="0" collapsed="false"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true" outlineLevel="0" collapsed="false"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true" outlineLevel="0" collapsed="false"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true" outlineLevel="0" collapsed="false"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true" outlineLevel="0" collapsed="false"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true" outlineLevel="0" collapsed="false"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true" outlineLevel="0" collapsed="false"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true" outlineLevel="0" collapsed="false"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true" outlineLevel="0" collapsed="false"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true" outlineLevel="0" collapsed="false"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true" outlineLevel="0" collapsed="false"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true" outlineLevel="0" collapsed="false"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true" outlineLevel="0" collapsed="false"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true" outlineLevel="0" collapsed="false"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true" outlineLevel="0" collapsed="false"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.75" hidden="false" customHeight="true" outlineLevel="0" collapsed="false"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true" outlineLevel="0" collapsed="false"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true" outlineLevel="0" collapsed="false"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true" outlineLevel="0" collapsed="false"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true" outlineLevel="0" collapsed="false"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true" outlineLevel="0" collapsed="false"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true" outlineLevel="0" collapsed="false"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true" outlineLevel="0" collapsed="false"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true" outlineLevel="0" collapsed="false"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true" outlineLevel="0" collapsed="false"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true" outlineLevel="0" collapsed="false"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true" outlineLevel="0" collapsed="false"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true" outlineLevel="0" collapsed="false"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true" outlineLevel="0" collapsed="false"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true" outlineLevel="0" collapsed="false"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true" outlineLevel="0" collapsed="false"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true" outlineLevel="0" collapsed="false"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true" outlineLevel="0" collapsed="false"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true" outlineLevel="0" collapsed="false"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true" outlineLevel="0" collapsed="false"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true" outlineLevel="0" collapsed="false"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true" outlineLevel="0" collapsed="false"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true" outlineLevel="0" collapsed="false"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true" outlineLevel="0" collapsed="false"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true" outlineLevel="0" collapsed="false"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true" outlineLevel="0" collapsed="false"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true" outlineLevel="0" collapsed="false"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true" outlineLevel="0" collapsed="false"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true" outlineLevel="0" collapsed="false"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true" outlineLevel="0" collapsed="false"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true" outlineLevel="0" collapsed="false"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true" outlineLevel="0" collapsed="false"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true" outlineLevel="0" collapsed="false"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true" outlineLevel="0" collapsed="false"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true" outlineLevel="0" collapsed="false"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true" outlineLevel="0" collapsed="false"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true" outlineLevel="0" collapsed="false"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true" outlineLevel="0" collapsed="false"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true" outlineLevel="0" collapsed="false"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true" outlineLevel="0" collapsed="false"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true" outlineLevel="0" collapsed="false"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true" outlineLevel="0" collapsed="false"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true" outlineLevel="0" collapsed="false"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true" outlineLevel="0" collapsed="false"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true" outlineLevel="0" collapsed="false"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true" outlineLevel="0" collapsed="false"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true" outlineLevel="0" collapsed="false"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true" outlineLevel="0" collapsed="false"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true" outlineLevel="0" collapsed="false"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true" outlineLevel="0" collapsed="false"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true" outlineLevel="0" collapsed="false"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true" outlineLevel="0" collapsed="false"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true" outlineLevel="0" collapsed="false"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true" outlineLevel="0" collapsed="false"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true" outlineLevel="0" collapsed="false"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true" outlineLevel="0" collapsed="false"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true" outlineLevel="0" collapsed="false"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true" outlineLevel="0" collapsed="false"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5.75" hidden="false" customHeight="true" outlineLevel="0" collapsed="false"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5.75" hidden="false" customHeight="true" outlineLevel="0" collapsed="false"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5.75" hidden="false" customHeight="true" outlineLevel="0" collapsed="false"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5.75" hidden="false" customHeight="true" outlineLevel="0" collapsed="false"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5.75" hidden="false" customHeight="true" outlineLevel="0" collapsed="false"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5.75" hidden="false" customHeight="true" outlineLevel="0" collapsed="false"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5.75" hidden="false" customHeight="true" outlineLevel="0" collapsed="false"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5.75" hidden="false" customHeight="true" outlineLevel="0" collapsed="false"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5.75" hidden="false" customHeight="true" outlineLevel="0" collapsed="false"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5.75" hidden="false" customHeight="true" outlineLevel="0" collapsed="false"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5.75" hidden="false" customHeight="true" outlineLevel="0" collapsed="false"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5.75" hidden="false" customHeight="true" outlineLevel="0" collapsed="false"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5.75" hidden="false" customHeight="true" outlineLevel="0" collapsed="false"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5.75" hidden="false" customHeight="true" outlineLevel="0" collapsed="false"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5.75" hidden="false" customHeight="true" outlineLevel="0" collapsed="false"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5.75" hidden="false" customHeight="true" outlineLevel="0" collapsed="false"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5.75" hidden="false" customHeight="true" outlineLevel="0" collapsed="false"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5.75" hidden="false" customHeight="true" outlineLevel="0" collapsed="false"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5.75" hidden="false" customHeight="true" outlineLevel="0" collapsed="false"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5.75" hidden="false" customHeight="true" outlineLevel="0" collapsed="false"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5.75" hidden="false" customHeight="true" outlineLevel="0" collapsed="false"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5.75" hidden="false" customHeight="true" outlineLevel="0" collapsed="false"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5.75" hidden="false" customHeight="true" outlineLevel="0" collapsed="false"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5.75" hidden="false" customHeight="true" outlineLevel="0" collapsed="false"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5.75" hidden="false" customHeight="true" outlineLevel="0" collapsed="false"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5.75" hidden="false" customHeight="true" outlineLevel="0" collapsed="false"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5.75" hidden="false" customHeight="true" outlineLevel="0" collapsed="false"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</sheetData>
  <mergeCells count="20">
    <mergeCell ref="A1:G1"/>
    <mergeCell ref="H1:Z3"/>
    <mergeCell ref="A2:G3"/>
    <mergeCell ref="A4:G4"/>
    <mergeCell ref="H4:Z248"/>
    <mergeCell ref="B21:D21"/>
    <mergeCell ref="F21:G21"/>
    <mergeCell ref="A23:G23"/>
    <mergeCell ref="B34:D34"/>
    <mergeCell ref="A36:G36"/>
    <mergeCell ref="B44:D44"/>
    <mergeCell ref="A46:B46"/>
    <mergeCell ref="A48:B51"/>
    <mergeCell ref="A52:B52"/>
    <mergeCell ref="C52:D52"/>
    <mergeCell ref="F52:G52"/>
    <mergeCell ref="A54:D54"/>
    <mergeCell ref="F54:G54"/>
    <mergeCell ref="A56:G56"/>
    <mergeCell ref="A57:G57"/>
  </mergeCells>
  <hyperlinks>
    <hyperlink ref="F6" r:id="rId1" display="https://candy-ho.com/producto/nodemcu-esp32-wifi-bluetooth-4-2-iot-wroom-esp32s-arduino/"/>
    <hyperlink ref="F7" r:id="rId2" display="https://candy-ho.com/producto/modulo-relay-rele-de-2-canales-5v-10a-arduino-pic-avr-2/"/>
    <hyperlink ref="F15" r:id="rId3" display="https://candy-ho.com/producto/tiras-de-40-pines-hembra-paso-2-54mm-recta-1-fila-arduino/   -  https://candy-ho.com/producto/pcb-placa-experimental-doble-7x9-prototipos-electronica-fr4/"/>
  </hyperlinks>
  <printOptions headings="false" gridLines="false" gridLinesSet="true" horizontalCentered="false" verticalCentered="false"/>
  <pageMargins left="0.3" right="0.3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2026-07-23T10:54:48Z</dcterms:created>
  <dc:creator>openpyxl</dc:creator>
  <dc:description/>
  <dc:language>en-US</dc:language>
  <cp:lastModifiedBy>Juan Ignacio MANFREDO</cp:lastModifiedBy>
  <dcterms:modified xsi:type="dcterms:W3CDTF">2026-09-17T02:13:51Z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