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4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17.25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/>
      </c>
      <c r="F6" s="7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68" t="inlineStr">
        <is>
          <t>Módulos de relé, 3 canales en total (5V,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/>
      </c>
      <c r="F7" s="7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15" customHeight="1" s="59">
      <c r="A8" s="75" t="inlineStr">
        <is>
          <t>Módulo fuente HLK-5M05 (220V→5V, 1A)</t>
        </is>
      </c>
      <c r="B8" s="76" t="inlineStr">
        <is>
          <t>Alimenta ESP32 + relés + sensado, independiente del telar</t>
        </is>
      </c>
      <c r="C8" s="77" t="n">
        <v>1</v>
      </c>
      <c r="D8" s="78" t="n">
        <v>7000</v>
      </c>
      <c r="E8" s="79">
        <f>C8*D8</f>
        <v/>
      </c>
      <c r="F8" s="80" t="inlineStr">
        <is>
          <t>Comprado en el local</t>
        </is>
      </c>
      <c r="G8" s="74" t="inlineStr">
        <is>
          <t>Ya se tiene</t>
        </is>
      </c>
    </row>
    <row r="9" ht="15" customHeight="1" s="59">
      <c r="A9" s="75" t="inlineStr">
        <is>
          <t>Optoacoplador PC817</t>
        </is>
      </c>
      <c r="B9" s="76" t="inlineStr">
        <is>
          <t>Aísla el 24V AC del botón del GPIO del ESP32, uno por canal</t>
        </is>
      </c>
      <c r="C9" s="77" t="n">
        <v>3</v>
      </c>
      <c r="D9" s="78" t="n">
        <v>500</v>
      </c>
      <c r="E9" s="79">
        <f>C9*D9</f>
        <v/>
      </c>
      <c r="F9" s="80" t="inlineStr">
        <is>
          <t>Comprado en el local</t>
        </is>
      </c>
      <c r="G9" s="74" t="inlineStr">
        <is>
          <t>Ya se tiene</t>
        </is>
      </c>
    </row>
    <row r="10" ht="15" customHeight="1" s="59">
      <c r="A10" s="75" t="inlineStr">
        <is>
          <t>Puente rectificador DB157 (1A)</t>
        </is>
      </c>
      <c r="B10" s="76" t="inlineStr">
        <is>
          <t>Convierte el 24V AC del botón en pulsos de DC, antes del PC817</t>
        </is>
      </c>
      <c r="C10" s="77" t="n">
        <v>3</v>
      </c>
      <c r="D10" s="78" t="n">
        <v>500</v>
      </c>
      <c r="E10" s="79">
        <f>C10*D10</f>
        <v/>
      </c>
      <c r="F10" s="80" t="inlineStr">
        <is>
          <t>Comprado en el local</t>
        </is>
      </c>
      <c r="G10" s="74" t="inlineStr">
        <is>
          <t>Ya se tiene</t>
        </is>
      </c>
    </row>
    <row r="11" ht="15" customHeight="1" s="59">
      <c r="A11" s="75" t="inlineStr">
        <is>
          <t>Resistencia 2,2kΩ 1W</t>
        </is>
      </c>
      <c r="B11" s="76" t="inlineStr">
        <is>
          <t>Limita la corriente hacia el LED del PC817. Es el valor para una botonera de 18 a 24 V: si al medirla diera entre 12 y 18 V, va de 1,2 kΩ.</t>
        </is>
      </c>
      <c r="C11" s="77" t="n">
        <v>3</v>
      </c>
      <c r="D11" s="81" t="n">
        <v>150</v>
      </c>
      <c r="E11" s="82">
        <f>C11*D11</f>
        <v/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/>
      </c>
      <c r="F12" s="80" t="inlineStr">
        <is>
          <t>Comprado en el local</t>
        </is>
      </c>
      <c r="G12" s="74" t="inlineStr">
        <is>
          <t>Ya se tiene</t>
        </is>
      </c>
    </row>
    <row r="13" ht="30.75" customHeight="1" s="59">
      <c r="A13" s="68" t="inlineStr">
        <is>
          <t>Resistencias 10kΩ ¼W</t>
        </is>
      </c>
      <c r="B13" s="69" t="inlineStr">
        <is>
          <t>Relés: pull-up en IN1 e IN2, pull-down a GND en IN3 (con pull-up el relé de Retroceder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/>
      </c>
      <c r="F13" s="80" t="inlineStr">
        <is>
          <t>Comprado en el local</t>
        </is>
      </c>
      <c r="G13" s="74" t="inlineStr">
        <is>
          <t>Ya se tiene</t>
        </is>
      </c>
    </row>
    <row r="14" ht="45.75" customHeight="1" s="59">
      <c r="A14" s="68" t="inlineStr">
        <is>
          <t>Capacitor electrolítico de 220 a 470 µF</t>
        </is>
      </c>
      <c r="B14" s="69" t="inlineStr">
        <is>
          <t>Sostienen ante un consumo brusco</t>
        </is>
      </c>
      <c r="C14" s="70" t="n">
        <v>1</v>
      </c>
      <c r="D14" s="71" t="n">
        <v>300</v>
      </c>
      <c r="E14" s="72">
        <f>C14*D14</f>
        <v/>
      </c>
      <c r="F14" s="80" t="inlineStr">
        <is>
          <t>Comprado en el local</t>
        </is>
      </c>
      <c r="G14" s="83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45.75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/>
      </c>
      <c r="F15" s="73" t="inlineStr">
        <is>
          <t>https://candy-ho.com/producto/tiras-de-40-pines-hembra-paso-2-54mm-recta-1-fila-arduino/   - 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1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/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/>
      </c>
      <c r="F17" s="80" t="inlineStr">
        <is>
          <t>Comprado en el local</t>
        </is>
      </c>
      <c r="G17" s="74" t="inlineStr">
        <is>
          <t>Ya se tiene</t>
        </is>
      </c>
    </row>
    <row r="18" ht="1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/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 xml:space="preserve">Cable multifilar 6 conductores, 1 mm² 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/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15.75" customHeight="1" s="59">
      <c r="A20" s="68" t="inlineStr">
        <is>
          <t>Capacitor electrolítico 22–47 µF 50 V</t>
        </is>
      </c>
      <c r="B20" s="76" t="inlineStr">
        <is>
          <t>Aplana el AC rectificado antes del optoacoplador</t>
        </is>
      </c>
      <c r="C20" s="70" t="n">
        <v>3</v>
      </c>
      <c r="D20" s="78" t="n">
        <v>400</v>
      </c>
      <c r="E20" s="72">
        <f>C20*D20</f>
        <v/>
      </c>
      <c r="F20" s="80" t="inlineStr">
        <is>
          <t>Comprado en el local</t>
        </is>
      </c>
      <c r="G20" s="84" t="inlineStr">
        <is>
          <t xml:space="preserve"> Sin él, el sensado lee varias pulsaciones donde hubo una sola: es crítico en el canal de Retroceder.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/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Incluye 1 repuesto, esto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/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29.25" customHeight="1" s="59">
      <c r="A26" s="68" t="inlineStr">
        <is>
          <t>(no aplica) Regulador 7824</t>
        </is>
      </c>
      <c r="B26" s="9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/>
      </c>
      <c r="F26" s="98" t="inlineStr">
        <is>
          <t>Comprado en el local</t>
        </is>
      </c>
      <c r="G26" s="58" t="inlineStr">
        <is>
          <t>El error que no podés cometer es pasarte de 36, y el regulador lo hace imposible. El otro extremo no tiene consecuencia.</t>
        </is>
      </c>
    </row>
    <row r="27" ht="29.25" customHeight="1" s="59">
      <c r="A27" s="68" t="inlineStr">
        <is>
          <t>Optoacoplador PC817</t>
        </is>
      </c>
      <c r="B27" s="9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/>
      </c>
      <c r="F27" s="98" t="inlineStr">
        <is>
          <t>Comprado en el local</t>
        </is>
      </c>
      <c r="G27" s="100" t="inlineStr">
        <is>
          <t>Uno en uso y uno de repuesto. Mismo componente que el sensado del Bloque A.</t>
        </is>
      </c>
    </row>
    <row r="28" ht="22.5" customHeight="1" s="59">
      <c r="A28" s="68" t="inlineStr">
        <is>
          <t>(no aplica) Puente rectificador DB157</t>
        </is>
      </c>
      <c r="B28" s="80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/>
      </c>
      <c r="F28" s="98" t="inlineStr">
        <is>
          <t>Comprado en el local</t>
        </is>
      </c>
      <c r="G28" s="74" t="inlineStr">
        <is>
          <t>Ya se tiene</t>
        </is>
      </c>
    </row>
    <row r="29" ht="22.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/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2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/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28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/>
      </c>
      <c r="F31" s="98" t="inlineStr">
        <is>
          <t>Comprado en el local</t>
        </is>
      </c>
      <c r="G31" s="100" t="inlineStr">
        <is>
          <t>Mantiene el pin del ESP32 en nivel alto mientras el sensor no detecta.</t>
        </is>
      </c>
    </row>
    <row r="32" ht="25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/>
      </c>
      <c r="F32" s="98" t="inlineStr">
        <is>
          <t>Comprado en el local</t>
        </is>
      </c>
      <c r="G32" s="100" t="inlineStr">
        <is>
          <t>No se usa: acompañaba al regulador 7824, que se descartó.</t>
        </is>
      </c>
    </row>
    <row r="33" ht="5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/>
      </c>
      <c r="F33" s="98" t="inlineStr">
        <is>
          <t>Comprado en el local</t>
        </is>
      </c>
      <c r="G33" s="101" t="inlineStr">
        <is>
          <t>A fabricar: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/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48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/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45" customHeight="1" s="59">
      <c r="A39" s="68" t="inlineStr">
        <is>
          <t>Relé OptoMOS LCA110 de IXYS (DIP-6)</t>
        </is>
      </c>
      <c r="B39" s="69" t="inlineStr">
        <is>
          <t>Corta la señal de cada lector óptico, comandado directo desde un pin del ESP32</t>
        </is>
      </c>
      <c r="C39" s="70" t="n">
        <v>4</v>
      </c>
      <c r="D39" s="71" t="n">
        <v>6034</v>
      </c>
      <c r="E39" s="72">
        <f>C39*D39</f>
        <v/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G3VM-61A1, TLP3021 (cada uno con su propia disposición de patas). Comprar 1 y probarlo antes de los otros 3.</t>
        </is>
      </c>
    </row>
    <row r="40" ht="33.75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/>
      </c>
      <c r="F40" s="98" t="inlineStr">
        <is>
          <t>Comprado en el local</t>
        </is>
      </c>
      <c r="G40" s="100" t="inlineStr">
        <is>
          <t>Para el conexionado de los cuatro canales dentro del gabinete, más repuestos.</t>
        </is>
      </c>
    </row>
    <row r="41" ht="33.75" customHeight="1" s="59">
      <c r="A41" s="68" t="inlineStr">
        <is>
          <t>Cable para los 4 canales</t>
        </is>
      </c>
      <c r="B41" s="80" t="inlineStr">
        <is>
          <t>Conexión entre el gabinete y los rele de estado solido</t>
        </is>
      </c>
      <c r="C41" s="70" t="n">
        <v>8</v>
      </c>
      <c r="D41" s="71" t="n">
        <v>700</v>
      </c>
      <c r="E41" s="72">
        <f>C41*D41</f>
        <v/>
      </c>
      <c r="F41" s="98" t="inlineStr">
        <is>
          <t>-</t>
        </is>
      </c>
      <c r="G41" s="10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/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21.75" customHeight="1" s="59">
      <c r="A43" s="68" t="inlineStr">
        <is>
          <t>Resistencia 330 Ω ¼ W</t>
        </is>
      </c>
      <c r="B43" s="80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/>
      </c>
      <c r="F43" s="98" t="inlineStr">
        <is>
          <t>Comprado en el local</t>
        </is>
      </c>
      <c r="G43" s="100" t="inlineStr">
        <is>
          <t>Una por canal. Con los 3,3 V del ESP32 entrega unos 6 mA. NO es opcional: sin ella se daña el LED del relé. El SSR de triac no la necesita porque la trae incorporada.</t>
        </is>
      </c>
    </row>
    <row r="44" ht="18" customHeight="1" s="59">
      <c r="A44" s="111" t="n"/>
      <c r="B44" s="112" t="inlineStr">
        <is>
          <t>Subtotal bloque</t>
        </is>
      </c>
      <c r="C44" s="87" t="n"/>
      <c r="D44" s="88" t="n"/>
      <c r="E44" s="113">
        <f>SUM(E38:E43)</f>
        <v/>
      </c>
      <c r="F44" s="114" t="n"/>
      <c r="G44" s="115" t="n"/>
    </row>
    <row r="45" ht="15.75" customHeight="1" s="59"/>
    <row r="46" ht="24" customHeight="1" s="59">
      <c r="A46" s="116" t="inlineStr">
        <is>
          <t>TOTAL DEL PROYECTO COMPLETO (A + C + D)</t>
        </is>
      </c>
      <c r="B46" s="117" t="n"/>
      <c r="C46" s="118" t="n"/>
      <c r="D46" s="118" t="n"/>
      <c r="E46" s="119">
        <f>E21+E34+E44</f>
        <v/>
      </c>
      <c r="F46" s="120" t="n"/>
      <c r="G46" s="121" t="n"/>
    </row>
    <row r="47" ht="15.75" customHeight="1" s="59"/>
    <row r="48" ht="21.75" customHeight="1" s="59">
      <c r="A48" s="122" t="inlineStr">
        <is>
          <t>• ORDEN DE COMPRA: (1) Bloque A ahora, para la Etapa 4. (2) Medición de la salida de un lector óptico (la velocidad ya está confirmada: 300 pasadas por minuto). (3) Recién entonces el Bloque D, cuya conexión (serie o paralelo) depende de esa medición.</t>
        </is>
      </c>
    </row>
    <row r="49" ht="15.75" customHeight="1" s="59"/>
    <row r="50" ht="15" customHeight="1" s="59"/>
    <row r="51" ht="15" customHeight="1" s="59"/>
    <row r="52" ht="15" customHeight="1" s="59">
      <c r="A52" s="58" t="n"/>
      <c r="C52" s="58" t="n"/>
      <c r="F52" s="58" t="n"/>
    </row>
    <row r="53" ht="15" customHeight="1" s="59"/>
    <row r="54" ht="15" customHeight="1" s="59">
      <c r="A54" s="58" t="n"/>
      <c r="F54" s="58" t="n"/>
    </row>
    <row r="55" ht="15" customHeight="1" s="59"/>
    <row r="56" ht="15.75" customHeight="1" s="59">
      <c r="A56" s="58" t="n"/>
    </row>
    <row r="57" ht="15.75" customHeight="1" s="59">
      <c r="A57" s="58" t="n"/>
    </row>
    <row r="58" ht="15.75" customHeight="1" s="59"/>
    <row r="59" ht="15.75" customHeight="1" s="59"/>
    <row r="60" ht="15.75" customHeight="1" s="59"/>
    <row r="61" ht="15.75" customHeight="1" s="59"/>
    <row r="62" ht="15.75" customHeight="1" s="59"/>
    <row r="63" ht="15.75" customHeight="1" s="59"/>
    <row r="64" ht="15.75" customHeight="1" s="59"/>
    <row r="65" ht="15.75" customHeight="1" s="59"/>
    <row r="66" ht="15.75" customHeight="1" s="59"/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54:G54"/>
    <mergeCell ref="A4:G4"/>
    <mergeCell ref="B44:D44"/>
    <mergeCell ref="B34:D34"/>
    <mergeCell ref="F21:G21"/>
    <mergeCell ref="A46:B46"/>
    <mergeCell ref="A2:G3"/>
    <mergeCell ref="A36:G36"/>
    <mergeCell ref="A1:G1"/>
    <mergeCell ref="A54:D54"/>
    <mergeCell ref="H4:Z248"/>
    <mergeCell ref="C52:D52"/>
    <mergeCell ref="A48:B51"/>
    <mergeCell ref="H1:Z3"/>
    <mergeCell ref="F52:G52"/>
    <mergeCell ref="A52:B52"/>
    <mergeCell ref="A56:G56"/>
    <mergeCell ref="B21:D21"/>
    <mergeCell ref="A57:G57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2026-10-06T23:07:38Z</dcterms:modified>
  <cp:lastModifiedBy>Juan Ignacio MANFREDO</cp:lastModifiedBy>
  <cp:revision>0</cp:revision>
</cp:coreProperties>
</file>