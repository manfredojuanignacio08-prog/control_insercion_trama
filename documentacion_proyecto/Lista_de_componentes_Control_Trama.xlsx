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<sst xmlns="http://schemas.openxmlformats.org/spreadsheetml/2006/main" count="138" uniqueCount="88">
  <si>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</si>
  <si>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</si>
  <si>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</si>
  <si>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</si>
  <si>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</si>
  <si>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</si>
  <si>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</si>
  <si>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</si>
  <si>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</si>
  <si>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</si>
  <si>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</si>
  <si>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</si>
  <si>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</si>
  <si>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</si>
  <si>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</si>
  <si>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</si>
  <si>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</si>
  <si>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</si>
  <si>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</si>
  <si>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</si>
  <si>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</si>
  <si>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</si>
  <si>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</si>
  <si>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</si>
  <si>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</si>
  <si>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</si>
  <si>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</si>
  <si>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</si>
  <si>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</si>
  <si>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</si>
  <si>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</si>
  <si>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</si>
  <si>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</si>
  <si>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</si>
  <si>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</si>
  <si>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</si>
  <si>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</si>
  <si>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</si>
  <si>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</si>
  <si>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</si>
  <si>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(sin malla)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</si>
  <si>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</si>
  <si>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</si>
  <si>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</si>
  <si>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</si>
  <si>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</si>
  <si>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</si>
  <si>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</si>
  <si>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</si>
  <si>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</si>
  <si>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</si>
  <si>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</si>
  <si>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</si>
  <si>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Resistencia 2,2 kΩ 1 W</t>
  </si>
  <si>
    <t xml:space="preserve">Limita la corriente del LED del optoacoplador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</si>
  <si>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</si>
  <si>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</si>
  <si>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</si>
  <si>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</si>
  <si>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Capacitor cerámico 100nF</t>
  </si>
  <si>
    <t xml:space="preserve">Filtrado fino en el colector del opto</t>
  </si>
  <si>
    <t xml:space="preserve">Filtra el ruido del elevador de tensión.</t>
  </si>
  <si>
    <t xml:space="preserve">Blanco metálico + soporte/escuadra</t>
  </si>
  <si>
    <t xml:space="preserve">Tornillo o chapita al eje + montaje del sensor</t>
  </si>
  <si>
    <t xml:space="preserve">A fabricar: escuadra en L tomada de un tornillo existente del chasis, más un tornillo o chapa como blanco metálico.</t>
  </si>
  <si>
    <t xml:space="preserve">(no aplica: el sensor se alimenta desde el telar)</t>
  </si>
  <si>
    <t xml:space="preserve">-</t>
  </si>
  <si>
    <t xml:space="preserve">El dueño de la planta ofreció alimentar el sensor desde la propia máquina, que ya dispone de continua en el rango que el sensor necesita (6 a 36 V). Confirmado el 06/09/26.</t>
  </si>
  <si>
    <t xml:space="preserve">BLOQUE D, Nivel 2: BOBINAS DE SELECCIÓN </t>
  </si>
  <si>
    <t xml:space="preserve">Bobinas de selección del telar (YA INSTALADAS)</t>
  </si>
  <si>
    <t xml:space="preserve">El actuador: empuja la palanca de selección. MODELO Y CANTIDAD según la medición (fuerza ≥ el doble de la medida)</t>
  </si>
  <si>
    <t xml:space="preserve">El telar cuenta con 6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</si>
  <si>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</si>
  <si>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</si>
  <si>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</si>
  <si>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</si>
  <si>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</si>
  <si>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seis canales dentro del gabinete, más repuestos.</t>
  </si>
  <si>
    <t xml:space="preserve">Cable y borneras para los 6 canales</t>
  </si>
  <si>
    <t xml:space="preserve">Conexión entre el gabinete y los lectores ópticos del telar</t>
  </si>
  <si>
    <t xml:space="preserve">Se aprovecha el sobrante del cable del Bloque A. Cantidad a definir según el recorrido real.</t>
  </si>
  <si>
    <t xml:space="preserve">Polarización de las 3 salidas del ESP32 hacia los SSR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</si>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</sst>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[$$-2C0A]\ * #,##0.00_-;\-[$$-2C0A]\ * #,##0.00_-;_-[$$-2C0A]\ * \-??_-;_-@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55.43"/>
    <col collapsed="false" customWidth="true" hidden="false" outlineLevel="0" max="2" min="2" style="1" width="57.14"/>
    <col collapsed="false" customWidth="true" hidden="false" outlineLevel="0" max="3" min="3" style="1" width="7"/>
    <col collapsed="false" customWidth="true" hidden="false" outlineLevel="0" max="4" min="4" style="1" width="16.84"/>
    <col collapsed="false" customWidth="true" hidden="false" outlineLevel="0" max="5" min="5" style="1" width="20.14"/>
    <col collapsed="false" customWidth="true" hidden="false" outlineLevel="0" max="6" min="6" style="1" width="36.15"/>
    <col collapsed="false" customWidth="true" hidden="false" outlineLevel="0" max="7" min="7" style="1" width="50.29"/>
    <col collapsed="false" customWidth="true" hidden="false" outlineLevel="0" max="26" min="8" style="1" width="8.71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3463</v>
      </c>
      <c r="E7" s="13" t="n">
        <f aca="false">C7*D7</f>
        <v>3463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200</v>
      </c>
      <c r="E12" s="13" t="n">
        <f aca="false">C12*D12</f>
        <v>600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15000</v>
      </c>
      <c r="E14" s="13" t="n">
        <f aca="false">C14*D14</f>
        <v>15000</v>
      </c>
      <c r="F14" s="14" t="s">
        <v>32</v>
      </c>
      <c r="G14" s="15" t="s">
        <v>33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" hidden="false" customHeight="true" outlineLevel="0" collapsed="false">
      <c r="A15" s="9" t="s">
        <v>34</v>
      </c>
      <c r="B15" s="10" t="s">
        <v>35</v>
      </c>
      <c r="C15" s="11" t="n">
        <v>1</v>
      </c>
      <c r="D15" s="12" t="n">
        <v>16000</v>
      </c>
      <c r="E15" s="13" t="n">
        <f aca="false">C15*D15</f>
        <v>16000</v>
      </c>
      <c r="F15" s="21" t="s">
        <v>19</v>
      </c>
      <c r="G15" s="15" t="s">
        <v>12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36</v>
      </c>
      <c r="B16" s="10" t="s">
        <v>37</v>
      </c>
      <c r="C16" s="11" t="n">
        <v>4</v>
      </c>
      <c r="D16" s="12" t="n">
        <v>1200</v>
      </c>
      <c r="E16" s="13" t="n">
        <f aca="false">C16*D16</f>
        <v>4800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38</v>
      </c>
      <c r="B17" s="10" t="s">
        <v>39</v>
      </c>
      <c r="C17" s="11" t="n">
        <v>1</v>
      </c>
      <c r="D17" s="12" t="n">
        <v>500</v>
      </c>
      <c r="E17" s="13" t="n">
        <f aca="false">C17*D17</f>
        <v>500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45.75" hidden="false" customHeight="true" outlineLevel="0" collapsed="false">
      <c r="A18" s="9" t="s">
        <v>40</v>
      </c>
      <c r="B18" s="10" t="s">
        <v>41</v>
      </c>
      <c r="C18" s="11" t="n">
        <v>3</v>
      </c>
      <c r="D18" s="12" t="n">
        <v>3000</v>
      </c>
      <c r="E18" s="13" t="n">
        <f aca="false">C18*D18</f>
        <v>9000</v>
      </c>
      <c r="F18" s="21" t="s">
        <v>19</v>
      </c>
      <c r="G18" s="15" t="s">
        <v>42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9" t="s">
        <v>43</v>
      </c>
      <c r="B19" s="17" t="s">
        <v>44</v>
      </c>
      <c r="C19" s="11" t="n">
        <v>3</v>
      </c>
      <c r="D19" s="19" t="n">
        <v>400</v>
      </c>
      <c r="E19" s="13" t="n">
        <f aca="false">C19*D19</f>
        <v>1200</v>
      </c>
      <c r="F19" s="21" t="s">
        <v>19</v>
      </c>
      <c r="G19" s="24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9.5" hidden="false" customHeight="true" outlineLevel="0" collapsed="false">
      <c r="A20" s="25"/>
      <c r="B20" s="26" t="s">
        <v>46</v>
      </c>
      <c r="C20" s="26"/>
      <c r="D20" s="26"/>
      <c r="E20" s="27" t="n">
        <f aca="false">SUM(E6:E19)</f>
        <v>74116</v>
      </c>
      <c r="F20" s="28"/>
      <c r="G20" s="28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8.75" hidden="false" customHeight="true" outlineLevel="0" collapsed="false">
      <c r="A22" s="29" t="s">
        <v>47</v>
      </c>
      <c r="B22" s="29"/>
      <c r="C22" s="29"/>
      <c r="D22" s="29"/>
      <c r="E22" s="29"/>
      <c r="F22" s="29"/>
      <c r="G22" s="29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30" t="s">
        <v>2</v>
      </c>
      <c r="B23" s="31" t="s">
        <v>3</v>
      </c>
      <c r="C23" s="31" t="s">
        <v>4</v>
      </c>
      <c r="D23" s="31" t="s">
        <v>5</v>
      </c>
      <c r="E23" s="31" t="s">
        <v>6</v>
      </c>
      <c r="F23" s="31" t="s">
        <v>7</v>
      </c>
      <c r="G23" s="32" t="s">
        <v>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53.25" hidden="false" customHeight="true" outlineLevel="0" collapsed="false">
      <c r="A24" s="9" t="s">
        <v>48</v>
      </c>
      <c r="B24" s="10" t="s">
        <v>49</v>
      </c>
      <c r="C24" s="11" t="n">
        <v>1</v>
      </c>
      <c r="D24" s="12" t="n">
        <v>7000</v>
      </c>
      <c r="E24" s="13" t="n">
        <f aca="false">C24*D24</f>
        <v>7000</v>
      </c>
      <c r="F24" s="33" t="s">
        <v>19</v>
      </c>
      <c r="G24" s="15" t="s">
        <v>50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29.25" hidden="false" customHeight="true" outlineLevel="0" collapsed="false">
      <c r="A25" s="9" t="s">
        <v>20</v>
      </c>
      <c r="B25" s="34" t="s">
        <v>51</v>
      </c>
      <c r="C25" s="11" t="n">
        <v>2</v>
      </c>
      <c r="D25" s="12" t="n">
        <v>700</v>
      </c>
      <c r="E25" s="13" t="n">
        <f aca="false">C25*D25</f>
        <v>1400</v>
      </c>
      <c r="F25" s="33" t="s">
        <v>19</v>
      </c>
      <c r="G25" s="35" t="s">
        <v>52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2.5" hidden="false" customHeight="true" outlineLevel="0" collapsed="false">
      <c r="A26" s="9" t="s">
        <v>53</v>
      </c>
      <c r="B26" s="10" t="s">
        <v>54</v>
      </c>
      <c r="C26" s="11" t="n">
        <v>2</v>
      </c>
      <c r="D26" s="12" t="n">
        <v>150</v>
      </c>
      <c r="E26" s="13" t="n">
        <f aca="false">C26*D26</f>
        <v>300</v>
      </c>
      <c r="F26" s="33" t="s">
        <v>19</v>
      </c>
      <c r="G26" s="35" t="s">
        <v>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8.5" hidden="false" customHeight="true" outlineLevel="0" collapsed="false">
      <c r="A27" s="9" t="s">
        <v>56</v>
      </c>
      <c r="B27" s="10" t="s">
        <v>57</v>
      </c>
      <c r="C27" s="11" t="n">
        <v>1</v>
      </c>
      <c r="D27" s="12" t="n">
        <v>150</v>
      </c>
      <c r="E27" s="13" t="n">
        <f aca="false">C27*D27</f>
        <v>150</v>
      </c>
      <c r="F27" s="33" t="s">
        <v>19</v>
      </c>
      <c r="G27" s="35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5.5" hidden="false" customHeight="true" outlineLevel="0" collapsed="false">
      <c r="A28" s="9" t="s">
        <v>59</v>
      </c>
      <c r="B28" s="10" t="s">
        <v>60</v>
      </c>
      <c r="C28" s="11" t="n">
        <v>1</v>
      </c>
      <c r="D28" s="12" t="n">
        <v>300</v>
      </c>
      <c r="E28" s="13" t="n">
        <f aca="false">C28*D28</f>
        <v>300</v>
      </c>
      <c r="F28" s="33" t="s">
        <v>19</v>
      </c>
      <c r="G28" s="35" t="s">
        <v>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51.75" hidden="false" customHeight="true" outlineLevel="0" collapsed="false">
      <c r="A29" s="9" t="s">
        <v>62</v>
      </c>
      <c r="B29" s="10" t="s">
        <v>63</v>
      </c>
      <c r="C29" s="11" t="n">
        <v>1</v>
      </c>
      <c r="D29" s="12" t="n">
        <v>1000</v>
      </c>
      <c r="E29" s="13" t="n">
        <f aca="false">C29*D29</f>
        <v>1000</v>
      </c>
      <c r="F29" s="33" t="s">
        <v>19</v>
      </c>
      <c r="G29" s="36" t="s">
        <v>64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3.25" hidden="false" customHeight="true" outlineLevel="0" collapsed="false">
      <c r="A30" s="9" t="s">
        <v>65</v>
      </c>
      <c r="B30" s="21" t="s">
        <v>66</v>
      </c>
      <c r="C30" s="11" t="n">
        <v>0</v>
      </c>
      <c r="D30" s="12" t="n">
        <v>0</v>
      </c>
      <c r="E30" s="13" t="n">
        <f aca="false">C30*D30</f>
        <v>0</v>
      </c>
      <c r="F30" s="33" t="s">
        <v>19</v>
      </c>
      <c r="G30" s="35" t="s">
        <v>67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0.25" hidden="false" customHeight="true" outlineLevel="0" collapsed="false">
      <c r="A31" s="37"/>
      <c r="B31" s="26" t="s">
        <v>46</v>
      </c>
      <c r="C31" s="26"/>
      <c r="D31" s="26"/>
      <c r="E31" s="38" t="n">
        <f aca="false">SUM(E24:E30)</f>
        <v>10150</v>
      </c>
      <c r="F31" s="39"/>
      <c r="G31" s="28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20.25" hidden="false" customHeight="true" outlineLevel="0" collapsed="false">
      <c r="A33" s="29" t="s">
        <v>68</v>
      </c>
      <c r="B33" s="29"/>
      <c r="C33" s="29"/>
      <c r="D33" s="29"/>
      <c r="E33" s="29"/>
      <c r="F33" s="29"/>
      <c r="G33" s="29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0" t="s">
        <v>2</v>
      </c>
      <c r="B34" s="31" t="s">
        <v>3</v>
      </c>
      <c r="C34" s="31" t="s">
        <v>4</v>
      </c>
      <c r="D34" s="31" t="s">
        <v>5</v>
      </c>
      <c r="E34" s="31" t="s">
        <v>6</v>
      </c>
      <c r="F34" s="31" t="s">
        <v>7</v>
      </c>
      <c r="G34" s="32" t="s">
        <v>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48" hidden="false" customHeight="true" outlineLevel="0" collapsed="false">
      <c r="A35" s="9" t="s">
        <v>69</v>
      </c>
      <c r="B35" s="10" t="s">
        <v>70</v>
      </c>
      <c r="C35" s="11" t="n">
        <v>6</v>
      </c>
      <c r="D35" s="12" t="n">
        <v>0</v>
      </c>
      <c r="E35" s="13" t="n">
        <f aca="false">C35*D35</f>
        <v>0</v>
      </c>
      <c r="F35" s="33" t="s">
        <v>66</v>
      </c>
      <c r="G35" s="40" t="s">
        <v>71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45" hidden="false" customHeight="true" outlineLevel="0" collapsed="false">
      <c r="A36" s="9" t="s">
        <v>72</v>
      </c>
      <c r="B36" s="10" t="s">
        <v>73</v>
      </c>
      <c r="C36" s="11" t="n">
        <v>6</v>
      </c>
      <c r="D36" s="12" t="n">
        <v>0</v>
      </c>
      <c r="E36" s="13" t="n">
        <f aca="false">C36*D36</f>
        <v>0</v>
      </c>
      <c r="F36" s="33" t="s">
        <v>19</v>
      </c>
      <c r="G36" s="36" t="s">
        <v>74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33.75" hidden="false" customHeight="true" outlineLevel="0" collapsed="false">
      <c r="A37" s="9" t="s">
        <v>75</v>
      </c>
      <c r="B37" s="10" t="s">
        <v>76</v>
      </c>
      <c r="C37" s="11" t="n">
        <v>8</v>
      </c>
      <c r="D37" s="12" t="n">
        <v>600</v>
      </c>
      <c r="E37" s="13" t="n">
        <f aca="false">C37*D37</f>
        <v>4800</v>
      </c>
      <c r="F37" s="33" t="s">
        <v>19</v>
      </c>
      <c r="G37" s="41" t="s">
        <v>77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33.75" hidden="false" customHeight="true" outlineLevel="0" collapsed="false">
      <c r="A38" s="9" t="s">
        <v>78</v>
      </c>
      <c r="B38" s="17" t="s">
        <v>79</v>
      </c>
      <c r="C38" s="11" t="n">
        <v>1</v>
      </c>
      <c r="D38" s="19" t="n">
        <v>0</v>
      </c>
      <c r="E38" s="13" t="n">
        <f aca="false">C38*D38</f>
        <v>0</v>
      </c>
      <c r="F38" s="33" t="s">
        <v>19</v>
      </c>
      <c r="G38" s="41" t="s">
        <v>80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2.75" hidden="false" customHeight="true" outlineLevel="0" collapsed="false">
      <c r="A39" s="9" t="s">
        <v>56</v>
      </c>
      <c r="B39" s="10" t="s">
        <v>81</v>
      </c>
      <c r="C39" s="11" t="n">
        <v>6</v>
      </c>
      <c r="D39" s="12" t="n">
        <v>150</v>
      </c>
      <c r="E39" s="13" t="n">
        <f aca="false">C39*D39</f>
        <v>900</v>
      </c>
      <c r="F39" s="33" t="s">
        <v>19</v>
      </c>
      <c r="G39" s="15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21.75" hidden="false" customHeight="true" outlineLevel="0" collapsed="false">
      <c r="A40" s="9" t="s">
        <v>83</v>
      </c>
      <c r="B40" s="42" t="s">
        <v>84</v>
      </c>
      <c r="C40" s="11" t="n">
        <v>6</v>
      </c>
      <c r="D40" s="19" t="n">
        <v>150</v>
      </c>
      <c r="E40" s="43" t="n">
        <f aca="false">C40*D40</f>
        <v>900</v>
      </c>
      <c r="F40" s="33" t="s">
        <v>19</v>
      </c>
      <c r="G40" s="41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8" hidden="false" customHeight="true" outlineLevel="0" collapsed="false">
      <c r="A41" s="37"/>
      <c r="B41" s="26" t="s">
        <v>46</v>
      </c>
      <c r="C41" s="26"/>
      <c r="D41" s="26"/>
      <c r="E41" s="38" t="n">
        <f aca="false">SUM(E35:E40)</f>
        <v>6600</v>
      </c>
      <c r="F41" s="39"/>
      <c r="G41" s="28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4" hidden="false" customHeight="true" outlineLevel="0" collapsed="false">
      <c r="A43" s="44" t="s">
        <v>86</v>
      </c>
      <c r="B43" s="44"/>
      <c r="C43" s="45"/>
      <c r="D43" s="45"/>
      <c r="E43" s="46" t="n">
        <f aca="false">E20+E31+E41</f>
        <v>90866</v>
      </c>
      <c r="F43" s="47"/>
      <c r="G43" s="48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21.75" hidden="false" customHeight="true" outlineLevel="0" collapsed="false">
      <c r="A45" s="49" t="s">
        <v>87</v>
      </c>
      <c r="B45" s="49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49"/>
      <c r="B46" s="49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" hidden="false" customHeight="true" outlineLevel="0" collapsed="false">
      <c r="A47" s="49"/>
      <c r="B47" s="49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" hidden="false" customHeight="true" outlineLevel="0" collapsed="false">
      <c r="A48" s="49"/>
      <c r="B48" s="49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" hidden="false" customHeight="true" outlineLevel="0" collapsed="false">
      <c r="A49" s="3"/>
      <c r="B49" s="3"/>
      <c r="C49" s="3"/>
      <c r="D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3"/>
      <c r="B51" s="3"/>
      <c r="C51" s="3"/>
      <c r="D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5"/>
    <mergeCell ref="B20:D20"/>
    <mergeCell ref="F20:G20"/>
    <mergeCell ref="A22:G22"/>
    <mergeCell ref="B31:D31"/>
    <mergeCell ref="A33:G33"/>
    <mergeCell ref="B41:D41"/>
    <mergeCell ref="A43:B43"/>
    <mergeCell ref="A45:B48"/>
    <mergeCell ref="A49:B49"/>
    <mergeCell ref="C49:D49"/>
    <mergeCell ref="F49:G49"/>
    <mergeCell ref="A51:D51"/>
    <mergeCell ref="F51:G51"/>
    <mergeCell ref="A53:G53"/>
    <mergeCell ref="A54:G54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4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/>
  <dcterms:modified xsi:type="dcterms:W3CDTF">2026-09-09T07:50:44Z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