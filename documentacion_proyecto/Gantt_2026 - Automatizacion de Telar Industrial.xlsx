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GANTT_Data_Referencias" sheetId="2" state="visible" r:id="rId4"/>
    <sheet name="Estimación de Costos" sheetId="3" state="visible" r:id="rId5"/>
    <sheet name="EXAMPLE Scrum Project Mgmt" sheetId="4" state="hidden" r:id="rId6"/>
    <sheet name="Copia de BLANK Scrum Project Mg" sheetId="5" state="hidden" r:id="rId7"/>
    <sheet name="Release Backlog" sheetId="6" state="hidden" r:id="rId8"/>
    <sheet name="User Stories or Tasks" sheetId="7" state="hidden" r:id="rId9"/>
    <sheet name="Dropdown Keys - Do Not Delete" sheetId="8" state="hidden" r:id="rId10"/>
    <sheet name="💡¿Cómo nombro las tareas" sheetId="9" state="visible" r:id="rId11"/>
  </sheets>
  <definedNames>
    <definedName function="false" hidden="false" name="Interval" vbProcedure="false">#REF!</definedName>
    <definedName function="false" hidden="false" name="ScheduleStart" vbProcedure="false">#REF!</definedName>
    <definedName function="false" hidden="false" name="Typ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IBM Plex Sans"/>
            <family val="2"/>
          </rPr>
          <t xml:space="preserve">El título se replica en todas las hojas</t>
        </r>
      </text>
    </comment>
    <comment ref="C9" authorId="0">
      <text>
        <r>
          <rPr>
            <sz val="10"/>
            <rFont val="IBM Plex Sans"/>
            <family val="2"/>
          </rPr>
  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  </r>
      </text>
    </comment>
    <comment ref="C181" authorId="0">
      <text>
        <r>
          <rPr>
            <sz val="10"/>
            <rFont val="IBM Plex Sans"/>
            <family val="2"/>
          </rPr>
          <t xml:space="preserve">Se reveen los valores totales del proyecto (horas trabajadas, días trabajados)
Asimismo, las horas trabajadas por etapa (en el cuadro de la parte inferior).</t>
        </r>
      </text>
    </comment>
    <comment ref="D5" authorId="0">
      <text>
        <r>
          <rPr>
            <sz val="10"/>
            <rFont val="IBM Plex Sans"/>
            <family val="2"/>
          </rPr>
          <t xml:space="preserve">La fórmula leerá como INICIO de PROYECTO la fecha mínima que fue especificada en toda la carta gantt</t>
        </r>
      </text>
    </comment>
    <comment ref="D6" authorId="0">
      <text>
        <r>
          <rPr>
            <sz val="10"/>
            <rFont val="IBM Plex Sans"/>
            <family val="2"/>
          </rPr>
          <t xml:space="preserve">La fórmula leerá como INICIO de PROYECTO la fecha máxima que fue especificada en toda la carta gantt</t>
        </r>
      </text>
    </comment>
    <comment ref="D7" authorId="0">
      <text>
        <r>
          <rPr>
            <sz val="10"/>
            <rFont val="IBM Plex Sans"/>
            <family val="2"/>
          </rPr>
          <t xml:space="preserve">La fórmula tomará, a través de la formula SUMA, el total de dias que se emplearon para la realización del proyecto.
Dicho valor también aparece al final de la carta Gantt.</t>
        </r>
      </text>
    </comment>
    <comment ref="D9" authorId="0">
      <text>
        <r>
          <rPr>
            <sz val="10"/>
            <rFont val="IBM Plex Sans"/>
            <family val="2"/>
          </rPr>
          <t xml:space="preserve">Para cada tarea solo asignar los roles principales que participaron. SI ALGUIEN TIENE DOS ROLES, asignar el que tuvo incumbencia.</t>
        </r>
      </text>
    </comment>
    <comment ref="G10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lo estimado y lo completado</t>
        </r>
      </text>
    </comment>
    <comment ref="L3" authorId="0">
      <text>
        <r>
          <rPr>
            <sz val="10"/>
            <rFont val="IBM Plex Sans"/>
            <family val="2"/>
          </rPr>
  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  </r>
      </text>
    </comment>
    <comment ref="L9" authorId="0">
      <text>
        <r>
          <rPr>
            <sz val="10"/>
            <rFont val="IBM Plex Sans"/>
            <family val="2"/>
          </rPr>
          <t xml:space="preserve">Fila automatizada, nunca eliminar los valores de la celda.
Calcula la diferencia entre las fechas planteadas.</t>
        </r>
      </text>
    </comment>
    <comment ref="M9" authorId="0">
      <text>
        <r>
          <rPr>
            <sz val="10"/>
            <rFont val="IBM Plex Sans"/>
            <family val="2"/>
          </rPr>
          <t xml:space="preserve">Tal como se indica, calcula el porcentaje de la tarea completada:
a) LA PRIMERA FILA indica el total de la etapa
b) El resto de las filas indica el total por tarea que inciden en dicha etapa</t>
        </r>
      </text>
    </comment>
    <comment ref="N1" authorId="0">
      <text>
        <r>
          <rPr>
            <sz val="10"/>
            <rFont val="IBM Plex Sans"/>
            <family val="2"/>
          </rPr>
  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IBM Plex Sans"/>
            <family val="2"/>
          </rPr>
          <t xml:space="preserve">💡Se calcula el total de horas trabajadas por rol a lo largo de todo el ciclo de vida del proyecto.
⚠️ Respetar el orden de los ID en todas las tablas.</t>
        </r>
      </text>
    </comment>
    <comment ref="K3" authorId="0">
      <text>
        <r>
          <rPr>
            <sz val="10"/>
            <rFont val="IBM Plex Sans"/>
            <family val="2"/>
          </rPr>
  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  </r>
      </text>
    </comment>
    <comment ref="O1" authorId="0">
      <text>
        <r>
          <rPr>
            <sz val="10"/>
            <rFont val="IBM Plex Sans"/>
            <family val="2"/>
          </rPr>
          <t xml:space="preserve">Valor importante para el cálculo del valor hora por rol.
Conectada a una API de actualización automática.</t>
        </r>
      </text>
    </comment>
  </commentList>
</comments>
</file>

<file path=xl/sharedStrings.xml><?xml version="1.0" encoding="utf-8"?>
<sst xmlns="http://schemas.openxmlformats.org/spreadsheetml/2006/main" count="1291" uniqueCount="817">
  <si>
    <t xml:space="preserve">AUTOMATIZACIÓN DE TELAR INDUSTRIAL</t>
  </si>
  <si>
    <t xml:space="preserve">CALENDARIO DEL PROYECTO</t>
  </si>
  <si>
    <t xml:space="preserve">Project Manager </t>
  </si>
  <si>
    <t xml:space="preserve">Manfredo Juan Ignacio</t>
  </si>
  <si>
    <t xml:space="preserve">SPRINTS</t>
  </si>
  <si>
    <t xml:space="preserve">Fecha de creación del Gantt </t>
  </si>
  <si>
    <t xml:space="preserve">Inicio del Proyecto </t>
  </si>
  <si>
    <t xml:space="preserve">Fin del Proyecto </t>
  </si>
  <si>
    <t xml:space="preserve">Duración total del Proyecto (días) 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</si>
  <si>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</si>
  <si>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</si>
  <si>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</si>
  <si>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</si>
  <si>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</si>
  <si>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</si>
  <si>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</si>
  <si>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</si>
  <si>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</si>
  <si>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</si>
  <si>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Título de la tarea</t>
  </si>
  <si>
    <t xml:space="preserve">Responsable/s de la tarea</t>
  </si>
  <si>
    <t xml:space="preserve">Cantidad de trabajo en horas</t>
  </si>
  <si>
    <t xml:space="preserve">SPRINT</t>
  </si>
  <si>
    <t xml:space="preserve">Tarea Predecesora</t>
  </si>
  <si>
    <t xml:space="preserve">Fecha de Inicio</t>
  </si>
  <si>
    <t xml:space="preserve">Fecha de Finalización</t>
  </si>
  <si>
    <t xml:space="preserve">Duración</t>
  </si>
  <si>
    <t xml:space="preserve">Porcentaje de la Tarea Completada</t>
  </si>
  <si>
    <t xml:space="preserve">Semana 1</t>
  </si>
  <si>
    <t xml:space="preserve">Semana 2</t>
  </si>
  <si>
    <t xml:space="preserve">Semana 3</t>
  </si>
  <si>
    <t xml:space="preserve">Semana 4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</si>
  <si>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</si>
  <si>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</si>
  <si>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</si>
  <si>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</si>
  <si>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</si>
  <si>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</si>
  <si>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</si>
  <si>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</si>
  <si>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</si>
  <si>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</si>
  <si>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</si>
  <si>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18</t>
  </si>
  <si>
    <t xml:space="preserve">Semana 19</t>
  </si>
  <si>
    <t xml:space="preserve">Semana 20</t>
  </si>
  <si>
    <t xml:space="preserve">Semana 21</t>
  </si>
  <si>
    <t xml:space="preserve">Semana 22</t>
  </si>
  <si>
    <t xml:space="preserve">Semana 23</t>
  </si>
  <si>
    <t xml:space="preserve">Semana 24</t>
  </si>
  <si>
    <t xml:space="preserve">Semana 25</t>
  </si>
  <si>
    <t xml:space="preserve">Semana 26</t>
  </si>
  <si>
    <t xml:space="preserve">Semana 27</t>
  </si>
  <si>
    <t xml:space="preserve">Semana 28</t>
  </si>
  <si>
    <t xml:space="preserve">Semana 29</t>
  </si>
  <si>
    <t xml:space="preserve">Semana 30</t>
  </si>
  <si>
    <t xml:space="preserve">Semana 31</t>
  </si>
  <si>
    <t xml:space="preserve">Semana 32</t>
  </si>
  <si>
    <t xml:space="preserve">Semana 33</t>
  </si>
  <si>
    <t xml:space="preserve">Semana 34</t>
  </si>
  <si>
    <t xml:space="preserve">Semana 35</t>
  </si>
  <si>
    <t xml:space="preserve">Semana 36</t>
  </si>
  <si>
    <t xml:space="preserve">Semana 37</t>
  </si>
  <si>
    <t xml:space="preserve">Estimado</t>
  </si>
  <si>
    <t xml:space="preserve">Completo</t>
  </si>
  <si>
    <t xml:space="preserve">Faltante</t>
  </si>
  <si>
    <t xml:space="preserve">ETAPA 01 - Definición de proyecto</t>
  </si>
  <si>
    <t xml:space="preserve">1,1</t>
  </si>
  <si>
    <t xml:space="preserve">Analisis del mercado</t>
  </si>
  <si>
    <t xml:space="preserve">PM, D02, IM01, IM02, IR</t>
  </si>
  <si>
    <t xml:space="preserve">Armado de entrevista  - Taller CyP</t>
  </si>
  <si>
    <t xml:space="preserve">PM, D02, IR</t>
  </si>
  <si>
    <t xml:space="preserve">Entrevista al 1er cliente - 1ra reunión</t>
  </si>
  <si>
    <t xml:space="preserve">PM</t>
  </si>
  <si>
    <t xml:space="preserve">1,2</t>
  </si>
  <si>
    <t xml:space="preserve">1,4</t>
  </si>
  <si>
    <t xml:space="preserve">Feedback  de la 1ra reunión - Taller CyP</t>
  </si>
  <si>
    <t xml:space="preserve">PM, IM01</t>
  </si>
  <si>
    <t xml:space="preserve">1,3</t>
  </si>
  <si>
    <t xml:space="preserve">1,5</t>
  </si>
  <si>
    <t xml:space="preserve">Armado de 2da entrevista  - Taller CyP</t>
  </si>
  <si>
    <t xml:space="preserve">1,6</t>
  </si>
  <si>
    <t xml:space="preserve">Entrevista al 1er cliente - 2da reunión</t>
  </si>
  <si>
    <t xml:space="preserve">1,7</t>
  </si>
  <si>
    <t xml:space="preserve">Análisis de los resultados</t>
  </si>
  <si>
    <t xml:space="preserve">1,8</t>
  </si>
  <si>
    <t xml:space="preserve">Charla/Entrevista - Fábrica de Tela</t>
  </si>
  <si>
    <t xml:space="preserve">PM, IM02</t>
  </si>
  <si>
    <t xml:space="preserve">1,9</t>
  </si>
  <si>
    <t xml:space="preserve">Feedback  de la 1ra reunión - Fábrica de Tela</t>
  </si>
  <si>
    <t xml:space="preserve">IM01, IR, IM02</t>
  </si>
  <si>
    <t xml:space="preserve">1,10</t>
  </si>
  <si>
    <t xml:space="preserve">Armado de entrevista  - Fabrica de tela</t>
  </si>
  <si>
    <t xml:space="preserve">D02, IR, IM02</t>
  </si>
  <si>
    <t xml:space="preserve">1,11</t>
  </si>
  <si>
    <t xml:space="preserve">Entrevista al 2do cliente - 2da reunión</t>
  </si>
  <si>
    <t xml:space="preserve">1,12</t>
  </si>
  <si>
    <t xml:space="preserve">PM, IM02, IM01</t>
  </si>
  <si>
    <t xml:space="preserve">1,13</t>
  </si>
  <si>
    <t xml:space="preserve">Analizis y Definición de ldeas del proyecto</t>
  </si>
  <si>
    <t xml:space="preserve">PM, IM01, IM02, D02, IR</t>
  </si>
  <si>
    <t xml:space="preserve">1,14</t>
  </si>
  <si>
    <t xml:space="preserve">Especificación de Requerimientos F y NF</t>
  </si>
  <si>
    <t xml:space="preserve">PM, IM01, IM02</t>
  </si>
  <si>
    <t xml:space="preserve">1,15</t>
  </si>
  <si>
    <t xml:space="preserve">Definición de Stack Tecnológico y Arquitectura</t>
  </si>
  <si>
    <t xml:space="preserve">IR, D02</t>
  </si>
  <si>
    <t xml:space="preserve">1,16</t>
  </si>
  <si>
    <t xml:space="preserve">Estimación de Costos y Presupuesto Preliminar</t>
  </si>
  <si>
    <t xml:space="preserve">1,17</t>
  </si>
  <si>
    <t xml:space="preserve">Designación de Roles</t>
  </si>
  <si>
    <t xml:space="preserve">1,18</t>
  </si>
  <si>
    <t xml:space="preserve">Realización de Presentación Visual</t>
  </si>
  <si>
    <t xml:space="preserve">PM, DUX, IM01</t>
  </si>
  <si>
    <t xml:space="preserve">1,19</t>
  </si>
  <si>
    <t xml:space="preserve">Ensayo de Presentación</t>
  </si>
  <si>
    <t xml:space="preserve">PM, IM01, IM02, IR, D02</t>
  </si>
  <si>
    <t xml:space="preserve">1,20</t>
  </si>
  <si>
    <t xml:space="preserve">Presentación de proyecto</t>
  </si>
  <si>
    <t xml:space="preserve">1,21</t>
  </si>
  <si>
    <t xml:space="preserve">Elección de Proyecto Final</t>
  </si>
  <si>
    <t xml:space="preserve">ETAPA 02 - Mockup</t>
  </si>
  <si>
    <t xml:space="preserve">Investigación de referentes</t>
  </si>
  <si>
    <t xml:space="preserve">2,2</t>
  </si>
  <si>
    <t xml:space="preserve">Entrevista al cliente - Tomar ideas y conceptos</t>
  </si>
  <si>
    <t xml:space="preserve">PM, DUX</t>
  </si>
  <si>
    <t xml:space="preserve">2,3</t>
  </si>
  <si>
    <t xml:space="preserve">Feedback y redactar minuta de primera entrevista</t>
  </si>
  <si>
    <t xml:space="preserve">2,4</t>
  </si>
  <si>
    <t xml:space="preserve">Definición de paleta, tipografía y design system</t>
  </si>
  <si>
    <t xml:space="preserve">DUX</t>
  </si>
  <si>
    <t xml:space="preserve">2,5</t>
  </si>
  <si>
    <t xml:space="preserve">Estructuración y formato del Mockup</t>
  </si>
  <si>
    <t xml:space="preserve">2,6</t>
  </si>
  <si>
    <t xml:space="preserve">Realizar el stack tecnológico y presupuesto total</t>
  </si>
  <si>
    <t xml:space="preserve">IR, IM01, PM, ELE</t>
  </si>
  <si>
    <t xml:space="preserve">2,7</t>
  </si>
  <si>
    <t xml:space="preserve">Inicio de la bitácora y 1ra versión de documentación</t>
  </si>
  <si>
    <t xml:space="preserve">PM, D02</t>
  </si>
  <si>
    <t xml:space="preserve">2,8</t>
  </si>
  <si>
    <t xml:space="preserve">Realización del Logo</t>
  </si>
  <si>
    <t xml:space="preserve">2,9</t>
  </si>
  <si>
    <t xml:space="preserve">Wireframes de baja fidelidad</t>
  </si>
  <si>
    <t xml:space="preserve">2,10</t>
  </si>
  <si>
    <t xml:space="preserve">Wireframes de media fidelidad</t>
  </si>
  <si>
    <t xml:space="preserve">2,11</t>
  </si>
  <si>
    <t xml:space="preserve">Alta fidelidad, Dashboard principal (Editor) de telares</t>
  </si>
  <si>
    <t xml:space="preserve">2,12</t>
  </si>
  <si>
    <t xml:space="preserve">Alta fidelidad, Biblioteca de patrones</t>
  </si>
  <si>
    <t xml:space="preserve">2,13</t>
  </si>
  <si>
    <t xml:space="preserve">Alta fidelidad, Home</t>
  </si>
  <si>
    <t xml:space="preserve">2,14</t>
  </si>
  <si>
    <t xml:space="preserve">Alta fidelidad, Pantallas de Errores, Guardados y Preguntas</t>
  </si>
  <si>
    <t xml:space="preserve">2,15</t>
  </si>
  <si>
    <t xml:space="preserve">Testing interno del mockup con el equipo</t>
  </si>
  <si>
    <t xml:space="preserve">PM, IM01, D02, IR, IM02</t>
  </si>
  <si>
    <t xml:space="preserve">2,16</t>
  </si>
  <si>
    <t xml:space="preserve">Exportación de assets y handoff a Frontend</t>
  </si>
  <si>
    <t xml:space="preserve">DUX, D02</t>
  </si>
  <si>
    <t xml:space="preserve">2,17</t>
  </si>
  <si>
    <t xml:space="preserve">2da Entrevista con Cliente (Presentación del Mockup)</t>
  </si>
  <si>
    <t xml:space="preserve">PM, DUX, IM01, IR, D02</t>
  </si>
  <si>
    <t xml:space="preserve">2,18</t>
  </si>
  <si>
    <t xml:space="preserve">Redactar registro de cambios y minuta final</t>
  </si>
  <si>
    <t xml:space="preserve">2,19</t>
  </si>
  <si>
    <t xml:space="preserve">Feedback y corrección de imperfecciones</t>
  </si>
  <si>
    <t xml:space="preserve">DUX, D01</t>
  </si>
  <si>
    <t xml:space="preserve">2,20</t>
  </si>
  <si>
    <t xml:space="preserve">Diagrama de flujo y conexiones lógicas/física</t>
  </si>
  <si>
    <t xml:space="preserve">IM01, IM02, ELE</t>
  </si>
  <si>
    <t xml:space="preserve">2,21</t>
  </si>
  <si>
    <t xml:space="preserve">Actualización de bitácora, documentación, Gantt y manual de uso</t>
  </si>
  <si>
    <t xml:space="preserve">ETAPA 03 - Armado de HTML/CSS + Servidor + BD</t>
  </si>
  <si>
    <t xml:space="preserve">Maquetar layout principal (HTML/CSS)</t>
  </si>
  <si>
    <t xml:space="preserve">D01, D02</t>
  </si>
  <si>
    <t xml:space="preserve">3,2</t>
  </si>
  <si>
    <t xml:space="preserve">Programar lógica del editor matricial (JS)</t>
  </si>
  <si>
    <t xml:space="preserve">D01</t>
  </si>
  <si>
    <t xml:space="preserve">3,1</t>
  </si>
  <si>
    <t xml:space="preserve">3,3</t>
  </si>
  <si>
    <t xml:space="preserve">Definir esquema de Base de Datos</t>
  </si>
  <si>
    <t xml:space="preserve">BD</t>
  </si>
  <si>
    <t xml:space="preserve">3,4</t>
  </si>
  <si>
    <t xml:space="preserve">Crear y Analizar Base de Datos en PostgreSQL</t>
  </si>
  <si>
    <t xml:space="preserve">3,5</t>
  </si>
  <si>
    <t xml:space="preserve">Investigar y entender la lógica de Backup y Endpoints</t>
  </si>
  <si>
    <t xml:space="preserve">3,6</t>
  </si>
  <si>
    <t xml:space="preserve">Desarrollar servidor Backend (Node.js)</t>
  </si>
  <si>
    <t xml:space="preserve">3,7</t>
  </si>
  <si>
    <t xml:space="preserve">Programar endpoints de conexión (API)</t>
  </si>
  <si>
    <t xml:space="preserve">3,8</t>
  </si>
  <si>
    <t xml:space="preserve">Realizar integración (Front-to-Back)</t>
  </si>
  <si>
    <t xml:space="preserve">3,9</t>
  </si>
  <si>
    <t xml:space="preserve">Desplegar Base de Datos en la nube</t>
  </si>
  <si>
    <t xml:space="preserve">D01, BD, D02</t>
  </si>
  <si>
    <t xml:space="preserve">3,10</t>
  </si>
  <si>
    <t xml:space="preserve">Configurar y subir el proyecto al Servidor Web</t>
  </si>
  <si>
    <t xml:space="preserve">BD, D01, D02</t>
  </si>
  <si>
    <t xml:space="preserve">3,11</t>
  </si>
  <si>
    <t xml:space="preserve">Testing interno del prototipo con el equipo </t>
  </si>
  <si>
    <t xml:space="preserve">D01, D02, IR, DUX, BD</t>
  </si>
  <si>
    <t xml:space="preserve">3,12</t>
  </si>
  <si>
    <t xml:space="preserve">Entrevista con Cliente - Página en funcionamiento</t>
  </si>
  <si>
    <t xml:space="preserve">PM, DUX, IM02, IR, IM01</t>
  </si>
  <si>
    <t xml:space="preserve">3,13</t>
  </si>
  <si>
    <t xml:space="preserve">Ajustes y correcciones rápidas según el feedback</t>
  </si>
  <si>
    <t xml:space="preserve">D01, D02, DUX</t>
  </si>
  <si>
    <t xml:space="preserve">3,14</t>
  </si>
  <si>
    <t xml:space="preserve">Cierre de la primera versión de documentación</t>
  </si>
  <si>
    <t xml:space="preserve">3,15</t>
  </si>
  <si>
    <t xml:space="preserve">Diseñar presentación visual y realizar ensayos</t>
  </si>
  <si>
    <t xml:space="preserve">IR, D02, IM02, IM01, PM</t>
  </si>
  <si>
    <t xml:space="preserve">3,16</t>
  </si>
  <si>
    <t xml:space="preserve">Presentación Final de la Etapa 02 y 03</t>
  </si>
  <si>
    <t xml:space="preserve">PM, IR, IM01, IM02, D02</t>
  </si>
  <si>
    <t xml:space="preserve">ETAPA 04 - Integración Electrónica y Control Físico del Telar</t>
  </si>
  <si>
    <t xml:space="preserve">Realizar Arbol de Problemas y Soluciones</t>
  </si>
  <si>
    <t xml:space="preserve">Corregir MVP y agregar Login por biometria</t>
  </si>
  <si>
    <t xml:space="preserve">IM01, D01, BD, PM, D02</t>
  </si>
  <si>
    <t xml:space="preserve">Revisar el diseño eléctrico y definir el BOM</t>
  </si>
  <si>
    <t xml:space="preserve">IM01, ELE, PM</t>
  </si>
  <si>
    <t xml:space="preserve">4,4</t>
  </si>
  <si>
    <t xml:space="preserve">Reajustar diagramas de flujo y lógicos/físicos</t>
  </si>
  <si>
    <t xml:space="preserve">ELE, IM01, IM02</t>
  </si>
  <si>
    <t xml:space="preserve">4,5</t>
  </si>
  <si>
    <t xml:space="preserve">Coordinar acceso a la fábrica con el cliente para intervenir</t>
  </si>
  <si>
    <t xml:space="preserve">4,6</t>
  </si>
  <si>
    <t xml:space="preserve">Empezar con la redacción, diseño y estructura del manual de uso y landing page</t>
  </si>
  <si>
    <t xml:space="preserve">PM, IM01, MUL, ELE</t>
  </si>
  <si>
    <t xml:space="preserve">4,7</t>
  </si>
  <si>
    <t xml:space="preserve">Análisis de riesgos y protocolo de seuridad eléctrica</t>
  </si>
  <si>
    <t xml:space="preserve">ELE, PM, IM01</t>
  </si>
  <si>
    <t xml:space="preserve">4,8</t>
  </si>
  <si>
    <t xml:space="preserve">Comprar los componentes del Nivel 1</t>
  </si>
  <si>
    <t xml:space="preserve">PM, ELE</t>
  </si>
  <si>
    <t xml:space="preserve">4,9</t>
  </si>
  <si>
    <t xml:space="preserve">Armar la etapa de potencia (24 V → 5 V)</t>
  </si>
  <si>
    <t xml:space="preserve">IM02, ELE</t>
  </si>
  <si>
    <t xml:space="preserve">4,10</t>
  </si>
  <si>
    <t xml:space="preserve">Montar el filtrado y las protecciones</t>
  </si>
  <si>
    <t xml:space="preserve">ELE, IM01</t>
  </si>
  <si>
    <t xml:space="preserve">4,11</t>
  </si>
  <si>
    <t xml:space="preserve">Agregar pull-ups y Schottky de convivencia USB</t>
  </si>
  <si>
    <t xml:space="preserve">4,12</t>
  </si>
  <si>
    <t xml:space="preserve">Cablear la etapa lógica ESP32 ↔ relés</t>
  </si>
  <si>
    <t xml:space="preserve">IM02, IM01</t>
  </si>
  <si>
    <t xml:space="preserve">4,13</t>
  </si>
  <si>
    <t xml:space="preserve">Montar la electrónica en un gabinete</t>
  </si>
  <si>
    <t xml:space="preserve">4,14</t>
  </si>
  <si>
    <t xml:space="preserve">Realizar el código del ESP32 en leguaje C</t>
  </si>
  <si>
    <t xml:space="preserve">D01, IM01</t>
  </si>
  <si>
    <t xml:space="preserve">4,15</t>
  </si>
  <si>
    <t xml:space="preserve">Configurar config.h (Wi-Fi, backend, relé)</t>
  </si>
  <si>
    <t xml:space="preserve">IR, D01, IM01</t>
  </si>
  <si>
    <t xml:space="preserve">4,16</t>
  </si>
  <si>
    <t xml:space="preserve">Compilar y subir el firmware al ESP32 (Arduino IDE)</t>
  </si>
  <si>
    <t xml:space="preserve">4,17</t>
  </si>
  <si>
    <t xml:space="preserve">Verificar conexión WiFi y sondeo al backend (monitor de serie)</t>
  </si>
  <si>
    <t xml:space="preserve">D01, IR</t>
  </si>
  <si>
    <t xml:space="preserve">4,18</t>
  </si>
  <si>
    <t xml:space="preserve">Prueba de mesa: patrón en la web → pulso de relé</t>
  </si>
  <si>
    <t xml:space="preserve">PM, IM01, ELE</t>
  </si>
  <si>
    <t xml:space="preserve">4,19</t>
  </si>
  <si>
    <t xml:space="preserve">Validar las protecciones del firmware</t>
  </si>
  <si>
    <t xml:space="preserve">IM01, IM02</t>
  </si>
  <si>
    <t xml:space="preserve">4,20</t>
  </si>
  <si>
    <t xml:space="preserve">Ejecutar el checklist de validación del ESP32</t>
  </si>
  <si>
    <t xml:space="preserve">4,21</t>
  </si>
  <si>
    <t xml:space="preserve">Medir e identificar los contactos de la botonera</t>
  </si>
  <si>
    <t xml:space="preserve">4,22</t>
  </si>
  <si>
    <t xml:space="preserve">Conectar los relés en paralelo a la botonera</t>
  </si>
  <si>
    <t xml:space="preserve">4,23</t>
  </si>
  <si>
    <t xml:space="preserve">Prueba integral en el telar real (Play/Pausa/Retroceder desde la web)</t>
  </si>
  <si>
    <t xml:space="preserve">4,24</t>
  </si>
  <si>
    <t xml:space="preserve">Ensayar la resistencia con los motores en marcha</t>
  </si>
  <si>
    <t xml:space="preserve">IR, IM01, PM</t>
  </si>
  <si>
    <t xml:space="preserve">4,25</t>
  </si>
  <si>
    <t xml:space="preserve">Actualizar diagrama eléctrico y documentar la etapa + bitácora</t>
  </si>
  <si>
    <t xml:space="preserve">PM, MUL, D02, ELE</t>
  </si>
  <si>
    <t xml:space="preserve">4,26</t>
  </si>
  <si>
    <t xml:space="preserve">Reunir fotos y perfiles de LinkedIn del equipo</t>
  </si>
  <si>
    <t xml:space="preserve">4,27</t>
  </si>
  <si>
    <t xml:space="preserve">Presentacion de avances del proyecto</t>
  </si>
  <si>
    <t xml:space="preserve">PM, ELE, IM01, IM02, D02</t>
  </si>
  <si>
    <t xml:space="preserve">4,28</t>
  </si>
  <si>
    <t xml:space="preserve">Adelantar documentación y manual de uso (doumento y HTML)</t>
  </si>
  <si>
    <t xml:space="preserve">4,29</t>
  </si>
  <si>
    <t xml:space="preserve">Mostrar avances de documentación, manual de uso y landing page</t>
  </si>
  <si>
    <t xml:space="preserve">PM, ELE, IR, IM01, IM02, D02</t>
  </si>
  <si>
    <t xml:space="preserve">4,30</t>
  </si>
  <si>
    <t xml:space="preserve">Sensar los tres botones del telar (optoacopladores + firmware)</t>
  </si>
  <si>
    <t xml:space="preserve">4,31</t>
  </si>
  <si>
    <t xml:space="preserve">Migrar el armado de protoboard a placa universal soldada</t>
  </si>
  <si>
    <t xml:space="preserve">4,32</t>
  </si>
  <si>
    <t xml:space="preserve">Instalar el gabinete en la planta y cablear hasta la botonera</t>
  </si>
  <si>
    <t xml:space="preserve">PM, ELE, IM01, IM02</t>
  </si>
  <si>
    <t xml:space="preserve">5</t>
  </si>
  <si>
    <t xml:space="preserve">ETAPA 05 - Nivel 2: Dobby con bobinas de selección</t>
  </si>
  <si>
    <t xml:space="preserve">5,1</t>
  </si>
  <si>
    <t xml:space="preserve">Inspeccionar el mecanismo lector del telar</t>
  </si>
  <si>
    <t xml:space="preserve">5,2</t>
  </si>
  <si>
    <t xml:space="preserve">Rediseñar el Nivel 2 con bobinas del telar</t>
  </si>
  <si>
    <t xml:space="preserve">PM, IM01, D01</t>
  </si>
  <si>
    <t xml:space="preserve">5,3</t>
  </si>
  <si>
    <t xml:space="preserve">Definir la sincronización de pasada</t>
  </si>
  <si>
    <t xml:space="preserve">IM01, ELE, IR</t>
  </si>
  <si>
    <t xml:space="preserve">5,4</t>
  </si>
  <si>
    <t xml:space="preserve">Redactar la guía de medición del telar</t>
  </si>
  <si>
    <t xml:space="preserve">IM01, ELE</t>
  </si>
  <si>
    <t xml:space="preserve">5,5</t>
  </si>
  <si>
    <t xml:space="preserve">Actualizar la simulación del Nivel 2</t>
  </si>
  <si>
    <t xml:space="preserve">5,6</t>
  </si>
  <si>
    <t xml:space="preserve">Desarrollar el firmware del Nivel 2</t>
  </si>
  <si>
    <t xml:space="preserve">IM01, D01</t>
  </si>
  <si>
    <t xml:space="preserve">5,7</t>
  </si>
  <si>
    <t xml:space="preserve">Redactar el checklist de validación del Nivel 2</t>
  </si>
  <si>
    <t xml:space="preserve">IM01, PM</t>
  </si>
  <si>
    <t xml:space="preserve">5,8</t>
  </si>
  <si>
    <t xml:space="preserve">Conseguir el instrumental de medición (Multimetro)</t>
  </si>
  <si>
    <t xml:space="preserve">5,9</t>
  </si>
  <si>
    <t xml:space="preserve">Medir el punto de selección en el telar</t>
  </si>
  <si>
    <t xml:space="preserve">IM01, ELE, IM02</t>
  </si>
  <si>
    <t xml:space="preserve">5,8 - 4,2</t>
  </si>
  <si>
    <t xml:space="preserve">5,10</t>
  </si>
  <si>
    <t xml:space="preserve">Elegir y dimensionar las bobinas de selección</t>
  </si>
  <si>
    <t xml:space="preserve">5,11</t>
  </si>
  <si>
    <t xml:space="preserve">Diseñar el mockup de la vista Tejido en vivo</t>
  </si>
  <si>
    <t xml:space="preserve">DUX, IM02</t>
  </si>
  <si>
    <t xml:space="preserve">5,12</t>
  </si>
  <si>
    <t xml:space="preserve">Comprar los componentes del Nivel 2</t>
  </si>
  <si>
    <t xml:space="preserve">PM, ELE, IM01</t>
  </si>
  <si>
    <t xml:space="preserve">5,13</t>
  </si>
  <si>
    <t xml:space="preserve">Armar y probar un canal único</t>
  </si>
  <si>
    <t xml:space="preserve">5,14</t>
  </si>
  <si>
    <t xml:space="preserve">Armar la etapa de potencia completa</t>
  </si>
  <si>
    <t xml:space="preserve">5,15</t>
  </si>
  <si>
    <t xml:space="preserve">Compilar el firmware y probar en modo mesa</t>
  </si>
  <si>
    <t xml:space="preserve">5,6 - 5,14</t>
  </si>
  <si>
    <t xml:space="preserve">5,16</t>
  </si>
  <si>
    <t xml:space="preserve">Probar la cadena completa web → bobinas del telar</t>
  </si>
  <si>
    <t xml:space="preserve">5,17</t>
  </si>
  <si>
    <t xml:space="preserve">Ensayar el comportamiento térmico de las bobinas</t>
  </si>
  <si>
    <t xml:space="preserve">D01, IM01, ELE</t>
  </si>
  <si>
    <t xml:space="preserve">5,18</t>
  </si>
  <si>
    <t xml:space="preserve">Armar la interfaz del sensor de pasada</t>
  </si>
  <si>
    <t xml:space="preserve">5,19</t>
  </si>
  <si>
    <t xml:space="preserve">Montar el sensor y probar el fail-safe</t>
  </si>
  <si>
    <t xml:space="preserve">IM01, IR</t>
  </si>
  <si>
    <t xml:space="preserve">5,20</t>
  </si>
  <si>
    <t xml:space="preserve">Implementar la vista Tejido en vivo en la web</t>
  </si>
  <si>
    <t xml:space="preserve">5,21</t>
  </si>
  <si>
    <t xml:space="preserve">Prueba integral en el telar con un dibujo real</t>
  </si>
  <si>
    <t xml:space="preserve">5,19 - 5,22</t>
  </si>
  <si>
    <t xml:space="preserve">5,22</t>
  </si>
  <si>
    <t xml:space="preserve">Ejecutar el checklist de validación del Nivel 2</t>
  </si>
  <si>
    <t xml:space="preserve">IM01, D01, IR</t>
  </si>
  <si>
    <t xml:space="preserve">5,7 - 5,23</t>
  </si>
  <si>
    <t xml:space="preserve">5,23</t>
  </si>
  <si>
    <t xml:space="preserve">Probar con un trabajador de la fábrica</t>
  </si>
  <si>
    <t xml:space="preserve">PM, IM02, DUX</t>
  </si>
  <si>
    <t xml:space="preserve">5,24</t>
  </si>
  <si>
    <t xml:space="preserve">Realizar landing del proyecto: estructura, textos y recursos visuales</t>
  </si>
  <si>
    <t xml:space="preserve">PM, DUX, MUL</t>
  </si>
  <si>
    <t xml:space="preserve">5,25</t>
  </si>
  <si>
    <t xml:space="preserve">Documentar la etapa y presentar el Nivel 2</t>
  </si>
  <si>
    <t xml:space="preserve">PM, D02, MUL</t>
  </si>
  <si>
    <t xml:space="preserve">5,22 - 5,23</t>
  </si>
  <si>
    <t xml:space="preserve">6</t>
  </si>
  <si>
    <t xml:space="preserve">ETAPA 06</t>
  </si>
  <si>
    <t xml:space="preserve">6,1</t>
  </si>
  <si>
    <t xml:space="preserve">Redactar lineamientos futuros de la documentación</t>
  </si>
  <si>
    <t xml:space="preserve">6,2</t>
  </si>
  <si>
    <t xml:space="preserve">Estimación de costos y presupuesto total (sin datos personales)</t>
  </si>
  <si>
    <t xml:space="preserve">6,3</t>
  </si>
  <si>
    <t xml:space="preserve">Definir modalidad de inversión y ganancia del proyecto</t>
  </si>
  <si>
    <t xml:space="preserve">PM, IR</t>
  </si>
  <si>
    <t xml:space="preserve">6,4</t>
  </si>
  <si>
    <t xml:space="preserve">Redactar contrato y garantía (sin datos personales)</t>
  </si>
  <si>
    <t xml:space="preserve">IR, PM</t>
  </si>
  <si>
    <t xml:space="preserve">6,5</t>
  </si>
  <si>
    <t xml:space="preserve">Armar landing page del proyecto: diseño y redacción</t>
  </si>
  <si>
    <t xml:space="preserve">MUL, DUX, PM</t>
  </si>
  <si>
    <t xml:space="preserve">6,6</t>
  </si>
  <si>
    <t xml:space="preserve">Avanzar y retocar manual de uso página del proyecto</t>
  </si>
  <si>
    <t xml:space="preserve">D02, DUX</t>
  </si>
  <si>
    <t xml:space="preserve">6,7</t>
  </si>
  <si>
    <t xml:space="preserve">Generar PDF y presupuesto para landing</t>
  </si>
  <si>
    <t xml:space="preserve">D02, IR</t>
  </si>
  <si>
    <t xml:space="preserve">6,8</t>
  </si>
  <si>
    <t xml:space="preserve">Actualizar Gantt del proyecto</t>
  </si>
  <si>
    <t xml:space="preserve">6,9</t>
  </si>
  <si>
    <t xml:space="preserve">Retocar y avanzar contenido  para el landing page</t>
  </si>
  <si>
    <t xml:space="preserve">PM, IM01, D02</t>
  </si>
  <si>
    <t xml:space="preserve">6,10</t>
  </si>
  <si>
    <t xml:space="preserve">Avanzar y retocar documento del manual de uso del proyecto</t>
  </si>
  <si>
    <t xml:space="preserve">D02, PM</t>
  </si>
  <si>
    <t xml:space="preserve">6,11</t>
  </si>
  <si>
    <t xml:space="preserve">Realizar página del Manual de Uso (redacción y recursos visuales)</t>
  </si>
  <si>
    <t xml:space="preserve">DUX, PM, MUL</t>
  </si>
  <si>
    <t xml:space="preserve">6,12</t>
  </si>
  <si>
    <t xml:space="preserve">Diseño de banners y piezas publicitarias</t>
  </si>
  <si>
    <t xml:space="preserve">MUL</t>
  </si>
  <si>
    <t xml:space="preserve">6,13</t>
  </si>
  <si>
    <t xml:space="preserve">Entrega de documentación, landing page y archivos (para revision)</t>
  </si>
  <si>
    <t xml:space="preserve">PM, D02, DUX, MUL</t>
  </si>
  <si>
    <t xml:space="preserve">6,14</t>
  </si>
  <si>
    <t xml:space="preserve">Revisión final y control de calidad de toda la documentación</t>
  </si>
  <si>
    <t xml:space="preserve">6,4 - 6,11</t>
  </si>
  <si>
    <t xml:space="preserve">6,15</t>
  </si>
  <si>
    <t xml:space="preserve">Comprar los componentes del sensado y la fuente (HLK-5M05, PC817, DB107, cable multifilar de 1 mm²)</t>
  </si>
  <si>
    <t xml:space="preserve">7</t>
  </si>
  <si>
    <t xml:space="preserve">ETAPA 07</t>
  </si>
  <si>
    <t xml:space="preserve">7,1</t>
  </si>
  <si>
    <t xml:space="preserve">Diseñar el circuito de sensado (optoacopladores) para Retroceder/Play/Pausa</t>
  </si>
  <si>
    <t xml:space="preserve">7,2</t>
  </si>
  <si>
    <t xml:space="preserve">Comprar los componentes del sensado (PC817, puentes, HLK-5M05)</t>
  </si>
  <si>
    <t xml:space="preserve">7,3</t>
  </si>
  <si>
    <t xml:space="preserve">Armar y probar el sensado de Avanzar en banco</t>
  </si>
  <si>
    <t xml:space="preserve">ELE, IM02</t>
  </si>
  <si>
    <t xml:space="preserve">7,4</t>
  </si>
  <si>
    <t xml:space="preserve">Armar y probar el sensado de Retroceder en banco</t>
  </si>
  <si>
    <t xml:space="preserve">7,5</t>
  </si>
  <si>
    <t xml:space="preserve">Programar el firmware de sensado en el ESP32</t>
  </si>
  <si>
    <t xml:space="preserve">7,6</t>
  </si>
  <si>
    <t xml:space="preserve">Sumar el endpoint evento-fisico al backend</t>
  </si>
  <si>
    <t xml:space="preserve">7,7</t>
  </si>
  <si>
    <t xml:space="preserve">Migrar la base de datos (posición incierta)</t>
  </si>
  <si>
    <t xml:space="preserve">BD, D01</t>
  </si>
  <si>
    <t xml:space="preserve">7,8</t>
  </si>
  <si>
    <t xml:space="preserve">Probar la cadena completa: botón manual → aviso en el backend</t>
  </si>
  <si>
    <t xml:space="preserve">7,9</t>
  </si>
  <si>
    <t xml:space="preserve">Medir el puntos de selección del telar </t>
  </si>
  <si>
    <t xml:space="preserve">IM02, IM01, ELE</t>
  </si>
  <si>
    <t xml:space="preserve">7,10</t>
  </si>
  <si>
    <t xml:space="preserve">Montar y calibrar el sensor de pasada inductivo (Bloque C)</t>
  </si>
  <si>
    <t xml:space="preserve">7,11</t>
  </si>
  <si>
    <t xml:space="preserve">Conectar las bobinas de forma definitiva con el hardware nuestro (Bloque D)</t>
  </si>
  <si>
    <t xml:space="preserve">7,12</t>
  </si>
  <si>
    <t xml:space="preserve">Prueba integral de Bloques A, C y D juntos en el telar real</t>
  </si>
  <si>
    <t xml:space="preserve">PM, IM02, IM01, ELE</t>
  </si>
  <si>
    <t xml:space="preserve">7,8 - 7,11</t>
  </si>
  <si>
    <t xml:space="preserve">7,13</t>
  </si>
  <si>
    <t xml:space="preserve">Ensayar el sistema con un dibujo/patrón real completo</t>
  </si>
  <si>
    <t xml:space="preserve">7,14</t>
  </si>
  <si>
    <t xml:space="preserve">Corregir los errores encontrados en la prueba integral</t>
  </si>
  <si>
    <t xml:space="preserve">7,15</t>
  </si>
  <si>
    <t xml:space="preserve">Ejecutar el checklist de validación general del sistema</t>
  </si>
  <si>
    <t xml:space="preserve">D01, IM01, PM</t>
  </si>
  <si>
    <t xml:space="preserve">8</t>
  </si>
  <si>
    <t xml:space="preserve">ETAPA 08</t>
  </si>
  <si>
    <t xml:space="preserve">8,1</t>
  </si>
  <si>
    <t xml:space="preserve">Probar el sistema con un trabajador real de la fábrica</t>
  </si>
  <si>
    <t xml:space="preserve">8,2</t>
  </si>
  <si>
    <t xml:space="preserve">Relevar el feedback final del cliente</t>
  </si>
  <si>
    <t xml:space="preserve">8,3</t>
  </si>
  <si>
    <t xml:space="preserve">Aplicar los ajustes finales según el feedback</t>
  </si>
  <si>
    <t xml:space="preserve">DUX, IM01, D02</t>
  </si>
  <si>
    <t xml:space="preserve">8,4</t>
  </si>
  <si>
    <t xml:space="preserve">Redactar el informe final de cierre del proyecto</t>
  </si>
  <si>
    <t xml:space="preserve">8,5</t>
  </si>
  <si>
    <t xml:space="preserve">Actualizar el Gantt con el cierre real de todas las etapas</t>
  </si>
  <si>
    <t xml:space="preserve">8,6</t>
  </si>
  <si>
    <t xml:space="preserve">Actualizar la bitácora con el cierre del proyecto</t>
  </si>
  <si>
    <t xml:space="preserve">8,7</t>
  </si>
  <si>
    <t xml:space="preserve">Preparar el material visual para la presentación final</t>
  </si>
  <si>
    <t xml:space="preserve">DUX, MUL</t>
  </si>
  <si>
    <t xml:space="preserve">8,8</t>
  </si>
  <si>
    <t xml:space="preserve">Ensayar la presentación final</t>
  </si>
  <si>
    <t xml:space="preserve">8,9</t>
  </si>
  <si>
    <t xml:space="preserve">Verificar que el telar esté operativo para la demo en vivo</t>
  </si>
  <si>
    <t xml:space="preserve">8,10</t>
  </si>
  <si>
    <t xml:space="preserve">Preparar el stand/espacio para la Expo de 7mo año</t>
  </si>
  <si>
    <t xml:space="preserve">PM, MUL</t>
  </si>
  <si>
    <t xml:space="preserve">8,11</t>
  </si>
  <si>
    <t xml:space="preserve">Coordinar la logística del día de la presentación</t>
  </si>
  <si>
    <t xml:space="preserve">8,12</t>
  </si>
  <si>
    <t xml:space="preserve">Realizar un ensayo general con demo en vivo del telar</t>
  </si>
  <si>
    <t xml:space="preserve">PM, DUX, IM01, MUL, ELE, IR, D02</t>
  </si>
  <si>
    <t xml:space="preserve">8,8 - 8,9</t>
  </si>
  <si>
    <t xml:space="preserve">8,13</t>
  </si>
  <si>
    <t xml:space="preserve">Entregar el proyecto formalmente al cliente</t>
  </si>
  <si>
    <t xml:space="preserve">8,14</t>
  </si>
  <si>
    <t xml:space="preserve">Realizar la devolución y agradecimiento al dueño de la fábrica</t>
  </si>
  <si>
    <t xml:space="preserve">8,15</t>
  </si>
  <si>
    <t xml:space="preserve">Presentación final del proyecto (Expo 7mo año)</t>
  </si>
  <si>
    <t xml:space="preserve">PM, IM02, DUX, IR, MUL, ELE, D02</t>
  </si>
  <si>
    <t xml:space="preserve">ESTIMADO</t>
  </si>
  <si>
    <t xml:space="preserve">COMPLETO</t>
  </si>
  <si>
    <t xml:space="preserve">REMANENTE</t>
  </si>
  <si>
    <t xml:space="preserve">DÍAS</t>
  </si>
  <si>
    <t xml:space="preserve">Total días</t>
  </si>
  <si>
    <t xml:space="preserve">BURNDOWN DATA</t>
  </si>
  <si>
    <t xml:space="preserve">HS TOTALES</t>
  </si>
  <si>
    <t xml:space="preserve">VALORACIÓN POR ETAPA</t>
  </si>
  <si>
    <t xml:space="preserve">Referencia Calendario</t>
  </si>
  <si>
    <t xml:space="preserve">Tarea completada 100%</t>
  </si>
  <si>
    <t xml:space="preserve">Tarea vencida</t>
  </si>
  <si>
    <t xml:space="preserve">Tarea futura 0%</t>
  </si>
  <si>
    <t xml:space="preserve">Dolar a</t>
  </si>
  <si>
    <t xml:space="preserve">Seguimiento - Horas trabajadas por etapa</t>
  </si>
  <si>
    <t xml:space="preserve">SETTINGS DEL EQUIPO</t>
  </si>
  <si>
    <t xml:space="preserve">RESPONSABLES</t>
  </si>
  <si>
    <t xml:space="preserve">ETAPA</t>
  </si>
  <si>
    <t xml:space="preserve">ID</t>
  </si>
  <si>
    <t xml:space="preserve">CARGO ASIGNADO</t>
  </si>
  <si>
    <t xml:space="preserve">TOTAL hs trabajadas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</si>
  <si>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</si>
  <si>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</si>
  <si>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</si>
  <si>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</si>
  <si>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</si>
  <si>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</si>
  <si>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</si>
  <si>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</si>
  <si>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Project Manager</t>
  </si>
  <si>
    <t xml:space="preserve">Desarrollador 01 - Back End</t>
  </si>
  <si>
    <t xml:space="preserve">Lede Buschiazzo Lautaro</t>
  </si>
  <si>
    <t xml:space="preserve">IM01</t>
  </si>
  <si>
    <t xml:space="preserve">Encargado 01 de Infra. de MCU</t>
  </si>
  <si>
    <t xml:space="preserve">Administrador de BD</t>
  </si>
  <si>
    <t xml:space="preserve">Ferrando Jaco</t>
  </si>
  <si>
    <t xml:space="preserve">IM02</t>
  </si>
  <si>
    <t xml:space="preserve">Encargado 02 de Infra. de MCU</t>
  </si>
  <si>
    <t xml:space="preserve">Diseñador UX/UI</t>
  </si>
  <si>
    <t xml:space="preserve">Iannone Mia</t>
  </si>
  <si>
    <t xml:space="preserve">D02</t>
  </si>
  <si>
    <t xml:space="preserve">Desarrollador 02 - Front End</t>
  </si>
  <si>
    <t xml:space="preserve">Aca se agregan los partnerships con los roles correspondientes. RESPETAR EL ORDEN DE CADA ID, ya que está todo vinculado por fórmulas!</t>
  </si>
  <si>
    <t xml:space="preserve">Montenegro Franco</t>
  </si>
  <si>
    <t xml:space="preserve">IR</t>
  </si>
  <si>
    <t xml:space="preserve">Encargado de Infra. de Red</t>
  </si>
  <si>
    <t xml:space="preserve">Funes Muriel</t>
  </si>
  <si>
    <t xml:space="preserve">Encargado de -Multimedios-</t>
  </si>
  <si>
    <t xml:space="preserve">Zamora Nahuel</t>
  </si>
  <si>
    <t xml:space="preserve">ELE</t>
  </si>
  <si>
    <t xml:space="preserve">Encargado de -Electrónica-</t>
  </si>
  <si>
    <t xml:space="preserve">Total por ETAPA</t>
  </si>
  <si>
    <t xml:space="preserve">ROL</t>
  </si>
  <si>
    <t xml:space="preserve">Valor hs de trabajo (JR)</t>
  </si>
  <si>
    <t xml:space="preserve">Por cada rol que se aplique a varios integrantes, aplicar la numeración al ID. EJ: Existen 2 desarrolladores en el equipo, D01 y D02</t>
  </si>
  <si>
    <t xml:space="preserve">D</t>
  </si>
  <si>
    <t xml:space="preserve">Desarrollador (front/back)</t>
  </si>
  <si>
    <t xml:space="preserve">IM</t>
  </si>
  <si>
    <t xml:space="preserve">Encargado de Infra. de MCU</t>
  </si>
  <si>
    <t xml:space="preserve">EA</t>
  </si>
  <si>
    <t xml:space="preserve">Esp. en Automatización (n8n)</t>
  </si>
  <si>
    <t xml:space="preserve">ADO01</t>
  </si>
  <si>
    <t xml:space="preserve">Encargado Administrativo 01</t>
  </si>
  <si>
    <t xml:space="preserve">Agregar los partnerships con los roles (recuerden que, para cada uno, habrá un valor de hora que se deberá adjudicar para la realización de los cálculos de costos del proyecto)</t>
  </si>
  <si>
    <t xml:space="preserve">ADO02</t>
  </si>
  <si>
    <t xml:space="preserve">Encargado Administrativo 02</t>
  </si>
  <si>
    <t xml:space="preserve">ESTIMACIÓN ECONÓMICA</t>
  </si>
  <si>
    <t xml:space="preserve">CLIENTE</t>
  </si>
  <si>
    <t xml:space="preserve">Norberto Ferrando</t>
  </si>
  <si>
    <t xml:space="preserve">FECHA DE INICIO</t>
  </si>
  <si>
    <t xml:space="preserve">FECHA FIN</t>
  </si>
  <si>
    <t xml:space="preserve">PRECIO VENTA</t>
  </si>
  <si>
    <t xml:space="preserve">ESFUERZO</t>
  </si>
  <si>
    <t xml:space="preserve">Horas</t>
  </si>
  <si>
    <t xml:space="preserve">MARGEN</t>
  </si>
  <si>
    <t xml:space="preserve">%</t>
  </si>
  <si>
    <t xml:space="preserve">1. ESTIMACIÓN DE COSTOS Y GASTOS</t>
  </si>
  <si>
    <t xml:space="preserve">1.A</t>
  </si>
  <si>
    <t xml:space="preserve">COSTES DE PERSONAL</t>
  </si>
  <si>
    <t xml:space="preserve">CATEGORÍA</t>
  </si>
  <si>
    <t xml:space="preserve">HORAS TOTALES</t>
  </si>
  <si>
    <t xml:space="preserve">COSTO/HR</t>
  </si>
  <si>
    <t xml:space="preserve">COEFICIENTE</t>
  </si>
  <si>
    <t xml:space="preserve">CONTINGENCIA</t>
  </si>
  <si>
    <t xml:space="preserve">COSTE</t>
  </si>
  <si>
    <t xml:space="preserve">Desarrollador 02 - Front / Back</t>
  </si>
  <si>
    <t xml:space="preserve">Desarrollador 03 - Front End</t>
  </si>
  <si>
    <t xml:space="preserve">SUBTOTAL</t>
  </si>
  <si>
    <t xml:space="preserve">$</t>
  </si>
  <si>
    <t xml:space="preserve">1.B</t>
  </si>
  <si>
    <t xml:space="preserve">COSTES VARIOS</t>
  </si>
  <si>
    <t xml:space="preserve">Internet</t>
  </si>
  <si>
    <t xml:space="preserve">meses</t>
  </si>
  <si>
    <t xml:space="preserve">Insumos materiales</t>
  </si>
  <si>
    <t xml:space="preserve">unidad</t>
  </si>
  <si>
    <t xml:space="preserve">Insumos tecnológicos</t>
  </si>
  <si>
    <t xml:space="preserve">Entrega de productos</t>
  </si>
  <si>
    <t xml:space="preserve">TOTAL</t>
  </si>
  <si>
    <t xml:space="preserve">TITULO PROYECTO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</si>
  <si>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</si>
  <si>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</si>
  <si>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</si>
  <si>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</si>
  <si>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</si>
  <si>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WORK BREAKDOWN STRUCTURE</t>
  </si>
  <si>
    <t xml:space="preserve">TASK TITLE</t>
  </si>
  <si>
    <t xml:space="preserve">TASK OWNER</t>
  </si>
  <si>
    <t xml:space="preserve">AMOUNT OF WORK IN HOURS</t>
  </si>
  <si>
    <t xml:space="preserve">START DATE</t>
  </si>
  <si>
    <t xml:space="preserve">DUE DATE</t>
  </si>
  <si>
    <t xml:space="preserve">DURATION</t>
  </si>
  <si>
    <t xml:space="preserve">PCT OF TASK COMPLETE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</si>
  <si>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</si>
  <si>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</si>
  <si>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</si>
  <si>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</si>
  <si>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</si>
  <si>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</si>
  <si>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</si>
  <si>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</si>
  <si>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</si>
  <si>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</si>
  <si>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</si>
  <si>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</si>
  <si>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ESTIMATE</t>
  </si>
  <si>
    <t xml:space="preserve">COMPLETED</t>
  </si>
  <si>
    <t xml:space="preserve">REMAINING</t>
  </si>
  <si>
    <t xml:space="preserve">M</t>
  </si>
  <si>
    <t xml:space="preserve">T</t>
  </si>
  <si>
    <t xml:space="preserve">W</t>
  </si>
  <si>
    <t xml:space="preserve">R</t>
  </si>
  <si>
    <t xml:space="preserve">F</t>
  </si>
  <si>
    <t xml:space="preserve">Project Conception and Initiation</t>
  </si>
  <si>
    <t xml:space="preserve">Project Charter</t>
  </si>
  <si>
    <t xml:space="preserve">Hilda Wilson</t>
  </si>
  <si>
    <t xml:space="preserve">1.1.1</t>
  </si>
  <si>
    <t xml:space="preserve">Project Charter Revisions</t>
  </si>
  <si>
    <t xml:space="preserve">Jamal King</t>
  </si>
  <si>
    <t xml:space="preserve">Research</t>
  </si>
  <si>
    <t xml:space="preserve">Jason Desjardins</t>
  </si>
  <si>
    <t xml:space="preserve">Projections</t>
  </si>
  <si>
    <t xml:space="preserve">Jonathon Wong</t>
  </si>
  <si>
    <t xml:space="preserve">Stakeholders</t>
  </si>
  <si>
    <t xml:space="preserve">Jose Price</t>
  </si>
  <si>
    <t xml:space="preserve">Guidelines</t>
  </si>
  <si>
    <t xml:space="preserve">Kiran Gupta</t>
  </si>
  <si>
    <t xml:space="preserve">Project Initiation</t>
  </si>
  <si>
    <t xml:space="preserve">Krista Ahmed</t>
  </si>
  <si>
    <t xml:space="preserve">Project Definition and Planning</t>
  </si>
  <si>
    <t xml:space="preserve">Scope &amp; Goal Setting</t>
  </si>
  <si>
    <t xml:space="preserve">Fiorella Fitzgerald</t>
  </si>
  <si>
    <t xml:space="preserve">Budget</t>
  </si>
  <si>
    <t xml:space="preserve">Guadalupe Garcia</t>
  </si>
  <si>
    <t xml:space="preserve">Communication Plan</t>
  </si>
  <si>
    <t xml:space="preserve">Hazel Christensen</t>
  </si>
  <si>
    <t xml:space="preserve">Risk Management</t>
  </si>
  <si>
    <t xml:space="preserve">Henry McNeal</t>
  </si>
  <si>
    <t xml:space="preserve">Project Launch and Execution</t>
  </si>
  <si>
    <t xml:space="preserve">Status &amp; Tracking</t>
  </si>
  <si>
    <t xml:space="preserve">Brian Gorman</t>
  </si>
  <si>
    <t xml:space="preserve">KPIs</t>
  </si>
  <si>
    <t xml:space="preserve">Brooklyn Jansen</t>
  </si>
  <si>
    <t xml:space="preserve">3.2.1</t>
  </si>
  <si>
    <t xml:space="preserve">Monitoring</t>
  </si>
  <si>
    <t xml:space="preserve">Carmen Robertson</t>
  </si>
  <si>
    <t xml:space="preserve">3.2.2</t>
  </si>
  <si>
    <t xml:space="preserve">Forecasts</t>
  </si>
  <si>
    <t xml:space="preserve">Devon Gomez</t>
  </si>
  <si>
    <t xml:space="preserve">Project Updates</t>
  </si>
  <si>
    <t xml:space="preserve">Diana Kennedy</t>
  </si>
  <si>
    <t xml:space="preserve">3.3.1</t>
  </si>
  <si>
    <t xml:space="preserve">Chart Updates</t>
  </si>
  <si>
    <t xml:space="preserve">Everett Crosse</t>
  </si>
  <si>
    <t xml:space="preserve">Project Performance / Monitoring</t>
  </si>
  <si>
    <t xml:space="preserve">Project Objectives</t>
  </si>
  <si>
    <t xml:space="preserve">Alexandra Mattson</t>
  </si>
  <si>
    <t xml:space="preserve">Quality Deliverables</t>
  </si>
  <si>
    <t xml:space="preserve">Aviv Perez</t>
  </si>
  <si>
    <t xml:space="preserve">Effort and Cost Tracking</t>
  </si>
  <si>
    <t xml:space="preserve">Leigh Gibbs</t>
  </si>
  <si>
    <t xml:space="preserve">4.4</t>
  </si>
  <si>
    <t xml:space="preserve">Project Performance</t>
  </si>
  <si>
    <t xml:space="preserve">Lori Garcia</t>
  </si>
  <si>
    <t xml:space="preserve">DAYS</t>
  </si>
  <si>
    <t xml:space="preserve">EST/ DAYS</t>
  </si>
  <si>
    <t xml:space="preserve">TOTAL HOURS</t>
  </si>
  <si>
    <t xml:space="preserve">DAY</t>
  </si>
  <si>
    <t xml:space="preserve">     ^  Enter number of days</t>
  </si>
  <si>
    <t xml:space="preserve">PLAN</t>
  </si>
  <si>
    <t xml:space="preserve">HOURS</t>
  </si>
  <si>
    <t xml:space="preserve">Enter hours completed per day ----&gt;</t>
  </si>
  <si>
    <t xml:space="preserve">HRS COMPLETED</t>
  </si>
  <si>
    <t xml:space="preserve">HRS REMAINING</t>
  </si>
  <si>
    <t xml:space="preserve">BURNDOWN CHART</t>
  </si>
  <si>
    <t xml:space="preserve">CLICK HERE TO CREATE IN SMARTSHEET</t>
  </si>
  <si>
    <t xml:space="preserve">Colocar el nombre completo del PM</t>
  </si>
  <si>
    <t xml:space="preserve">Fecha de creación del Gantt</t>
  </si>
  <si>
    <t xml:space="preserve">Inicio del Proyecto</t>
  </si>
  <si>
    <t xml:space="preserve">Fin del Proyecto</t>
  </si>
  <si>
    <t xml:space="preserve">Duración total del Proyecto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</si>
  <si>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</si>
  <si>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</si>
  <si>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</si>
  <si>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</si>
  <si>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</si>
  <si>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</si>
  <si>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19</t>
  </si>
  <si>
    <t xml:space="preserve">WEEK 20</t>
  </si>
  <si>
    <t xml:space="preserve">WEEK 21</t>
  </si>
  <si>
    <t xml:space="preserve">WEEK 22</t>
  </si>
  <si>
    <t xml:space="preserve">WEEK 23</t>
  </si>
  <si>
    <t xml:space="preserve">L</t>
  </si>
  <si>
    <t xml:space="preserve">X</t>
  </si>
  <si>
    <t xml:space="preserve">J</t>
  </si>
  <si>
    <t xml:space="preserve">V</t>
  </si>
  <si>
    <t xml:space="preserve">Tarea 01</t>
  </si>
  <si>
    <t xml:space="preserve">Tarea 02</t>
  </si>
  <si>
    <t xml:space="preserve">Tarea 03</t>
  </si>
  <si>
    <t xml:space="preserve">Tarea 04</t>
  </si>
  <si>
    <t xml:space="preserve">4.5</t>
  </si>
  <si>
    <t xml:space="preserve">4.6</t>
  </si>
  <si>
    <t xml:space="preserve">4.7</t>
  </si>
  <si>
    <t xml:space="preserve">Tarea 05</t>
  </si>
  <si>
    <t xml:space="preserve">Total de días</t>
  </si>
  <si>
    <t xml:space="preserve">Release Backlog</t>
  </si>
  <si>
    <t xml:space="preserve">PRIORITY</t>
  </si>
  <si>
    <t xml:space="preserve">FUNCTIONALITY</t>
  </si>
  <si>
    <t xml:space="preserve">TASK DESCRIPTION</t>
  </si>
  <si>
    <t xml:space="preserve">WORK ESTIMATE IN HOURS</t>
  </si>
  <si>
    <t xml:space="preserve">STATUS</t>
  </si>
  <si>
    <t xml:space="preserve">NOTES</t>
  </si>
  <si>
    <t xml:space="preserve">Complete</t>
  </si>
  <si>
    <t xml:space="preserve">Overdue</t>
  </si>
  <si>
    <t xml:space="preserve">In Progress</t>
  </si>
  <si>
    <t xml:space="preserve">Not Started</t>
  </si>
  <si>
    <t xml:space="preserve">User Stories or Tasks</t>
  </si>
  <si>
    <t xml:space="preserve">ADDED BY</t>
  </si>
  <si>
    <t xml:space="preserve">DATED ADDED</t>
  </si>
  <si>
    <t xml:space="preserve">Keys - Do Not Delete</t>
  </si>
  <si>
    <t xml:space="preserve">STATUS KEY</t>
  </si>
  <si>
    <t xml:space="preserve">¿Cómo nombro las tareas?</t>
  </si>
  <si>
    <t xml:space="preserve">¿Cómo agrupo las tareas? En ETAPAS</t>
  </si>
  <si>
    <t xml:space="preserve">1. Usá verbos de acción</t>
  </si>
  <si>
    <t xml:space="preserve">Las agrupaciones deben ayudar a ver bloques lógicos del proyecto (ideal para mostrar avance por entregables)</t>
  </si>
  <si>
    <t xml:space="preserve">Comenzar siempre con un verbo que indique la acción que se realiza:</t>
  </si>
  <si>
    <t xml:space="preserve">✅ "Diseñar wireframes de interfaz cliente"</t>
  </si>
  <si>
    <t xml:space="preserve">1. Agrupación por entregables o hitos</t>
  </si>
  <si>
    <t xml:space="preserve">❌ "Wireframes"</t>
  </si>
  <si>
    <t xml:space="preserve">Fase 1: Investigación y kick-off</t>
  </si>
  <si>
    <t xml:space="preserve">Fase 2: MVP V1 (sin base de datos)</t>
  </si>
  <si>
    <t xml:space="preserve">2. Sé claro y específico</t>
  </si>
  <si>
    <t xml:space="preserve">Fase 3: MVP V2 (con BD)</t>
  </si>
  <si>
    <t xml:space="preserve">Que quede en evidencia rápida qué se va a hacer y para qué parte del sistema o proyecto:</t>
  </si>
  <si>
    <t xml:space="preserve">Fase 4: Producto funcional – EXPO</t>
  </si>
  <si>
    <t xml:space="preserve">✅ "Programar login para vendedores"</t>
  </si>
  <si>
    <t xml:space="preserve">❌ "Login"</t>
  </si>
  <si>
    <t xml:space="preserve">2. Agrupación por disciplina técnica o tipo de trabajo</t>
  </si>
  <si>
    <t xml:space="preserve">- UX/UI y prototipos</t>
  </si>
  <si>
    <t xml:space="preserve">- Base de Datos</t>
  </si>
  <si>
    <t xml:space="preserve">- Documentación</t>
  </si>
  <si>
    <t xml:space="preserve">3. Mantené los nombres breves pero completos</t>
  </si>
  <si>
    <t xml:space="preserve">- Desarrollo Frontend</t>
  </si>
  <si>
    <t xml:space="preserve">- Infraestructura y Hardware</t>
  </si>
  <si>
    <t xml:space="preserve">- Validaciones y Pruebas</t>
  </si>
  <si>
    <t xml:space="preserve">Ni tan cortos que no se entiendan, ni tan largos que se vuelvan molestos de leer.</t>
  </si>
  <si>
    <t xml:space="preserve">- Desarrollo Backend</t>
  </si>
  <si>
    <t xml:space="preserve">4. Agregá contexto si hay tareas repetidas</t>
  </si>
  <si>
    <t xml:space="preserve">3. Agrupación por módulos funcionales del sistema</t>
  </si>
  <si>
    <t xml:space="preserve">Si hay tareas similares en varias fases, especificar la versión o módulo a la que refiere (por el dinamismo del proyecto):</t>
  </si>
  <si>
    <t xml:space="preserve">- Sitio Cliente</t>
  </si>
  <si>
    <t xml:space="preserve">- Tótems físicos</t>
  </si>
  <si>
    <t xml:space="preserve">➡️ "Documentar funcionalidades – MVP V1"</t>
  </si>
  <si>
    <t xml:space="preserve">- Sitio Vendedor</t>
  </si>
  <si>
    <t xml:space="preserve">- Backend</t>
  </si>
  <si>
    <t xml:space="preserve">➡️ "Programar pantalla de estado – MVP V2"</t>
  </si>
  <si>
    <t xml:space="preserve">- Pantalla de Estado</t>
  </si>
  <si>
    <t xml:space="preserve">5. Incluí el objetivo o resultado esperado</t>
  </si>
  <si>
    <t xml:space="preserve">4. Asigná un código o numeración</t>
  </si>
  <si>
    <t xml:space="preserve">Ayuda a visualizar el propósito de la tarea:</t>
  </si>
  <si>
    <t xml:space="preserve">Esto permite identificar rápidamente tareas y facilita la trazabilidad en reuniones, presentaciones, revisiones, etc.</t>
  </si>
  <si>
    <t xml:space="preserve">✅ "Diseñar prototipo navegable para flujo de pedidos"</t>
  </si>
  <si>
    <t xml:space="preserve">1. Investigación del Proyecto</t>
  </si>
  <si>
    <t xml:space="preserve">❌ "Diseño"</t>
  </si>
  <si>
    <t xml:space="preserve">1.1 Relevamiento de necesidades del buffet</t>
  </si>
  <si>
    <t xml:space="preserve">2. Desarrollo MVP V1 (sin BD)</t>
  </si>
  <si>
    <t xml:space="preserve">1.2 Identificación de usuarios y perfiles</t>
  </si>
  <si>
    <t xml:space="preserve">2.1 Diseñar interfaz cliente</t>
  </si>
  <si>
    <t xml:space="preserve">6. Evitá palabras vagas o genéricas</t>
  </si>
  <si>
    <t xml:space="preserve">1.3 Kick-off con equipo de trabajo</t>
  </si>
  <si>
    <t xml:space="preserve">2.2 Programar login para cliente</t>
  </si>
  <si>
    <t xml:space="preserve">Términos como “hacer”, “armar”, “resolver”, “gestionar” son poco informativos. Ser lo más específico posible:</t>
  </si>
  <si>
    <t xml:space="preserve">1.4 Estudio preliminar de viabilidad</t>
  </si>
  <si>
    <t xml:space="preserve">2.3 Desarrollar página de pedidos</t>
  </si>
  <si>
    <t xml:space="preserve">✅ "Configurar backend para conexión con BD"</t>
  </si>
  <si>
    <t xml:space="preserve">1.5 Armado de presentación</t>
  </si>
  <si>
    <t xml:space="preserve">2.4 Publicar versión en GitHub</t>
  </si>
  <si>
    <t xml:space="preserve">❌ "Gestionar backend"</t>
  </si>
  <si>
    <t xml:space="preserve">5. Identificá tareas repetitivas</t>
  </si>
  <si>
    <t xml:space="preserve">7. Conectá la tarea con su componente o parte del sistema</t>
  </si>
  <si>
    <t xml:space="preserve">Agrupar tareas similares ayuda a ahorrar tiempo, estandarizar procesos y asegurar de no olvidar ningún paso clave.</t>
  </si>
  <si>
    <t xml:space="preserve">Mencionar a qué parte afecta:</t>
  </si>
  <si>
    <t xml:space="preserve">Documentación</t>
  </si>
  <si>
    <t xml:space="preserve">Testeo y validación</t>
  </si>
  <si>
    <t xml:space="preserve">✅ "Programar validación de login para recepcionista"</t>
  </si>
  <si>
    <t xml:space="preserve"> - Documentar funcionalidades – MVP V1</t>
  </si>
  <si>
    <t xml:space="preserve">- Testear flujo de pedidos – MVP V1</t>
  </si>
  <si>
    <t xml:space="preserve">❌ "Validación de login"</t>
  </si>
  <si>
    <t xml:space="preserve"> - Documentar funcionalidades – MVP V2</t>
  </si>
  <si>
    <t xml:space="preserve">- Testear integración con BD – MVP V2</t>
  </si>
  <si>
    <t xml:space="preserve"> - Documentar funcionalidades – Producto final</t>
  </si>
  <si>
    <t xml:space="preserve">- Validación final en EXPO</t>
  </si>
  <si>
    <t xml:space="preserve">8. Usá un estilo consistente en todas las tareas</t>
  </si>
  <si>
    <t xml:space="preserve">Esto genera orden visual y facilita la lectura. Por ejemplo:</t>
  </si>
  <si>
    <t xml:space="preserve">6. Incluí tareas de validación y revisión</t>
  </si>
  <si>
    <t xml:space="preserve">Siempre comenzar con un verbo en infinitivo + componente + finalidad:</t>
  </si>
  <si>
    <t xml:space="preserve">Asegurar de que cada entrega sea funcional y cumpla lo esperado. Agregalas al final de cada bloque o agrupación.</t>
  </si>
  <si>
    <t xml:space="preserve">➡️ Diseñar + pantalla + de cliente</t>
  </si>
  <si>
    <t xml:space="preserve">Diseño UX/UI</t>
  </si>
  <si>
    <t xml:space="preserve">Desarrollo backend</t>
  </si>
  <si>
    <t xml:space="preserve">➡️ Desarrollar + login + para recepcionista</t>
  </si>
  <si>
    <t xml:space="preserve">- Diseñar prototipo cliente</t>
  </si>
  <si>
    <t xml:space="preserve">- Programar lógica de pedidos</t>
  </si>
  <si>
    <t xml:space="preserve">- Diseñar prototipo recepcionista</t>
  </si>
  <si>
    <t xml:space="preserve">- Conectar login con sistema</t>
  </si>
  <si>
    <t xml:space="preserve">- Validar prototipos con usuarios</t>
  </si>
  <si>
    <t xml:space="preserve">- Revisar endpoints y flujos</t>
  </si>
  <si>
    <t xml:space="preserve">7. Usá subtareas si la tarea (trabajo) lo requiere</t>
  </si>
  <si>
    <t xml:space="preserve">Cuando una tarea es compleja o abarca varias actividades, dividila en subtareas para una gestión más precisa.</t>
  </si>
  <si>
    <t xml:space="preserve">2.2.1 Crear formulario de ingreso</t>
  </si>
  <si>
    <t xml:space="preserve">2.2.2 Validar datos en frontend</t>
  </si>
  <si>
    <t xml:space="preserve">2.2.3 Implementar control de sesión en backend</t>
  </si>
  <si>
    <t xml:space="preserve">2.2.4 Probar flujo completo de ingreso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</si>
</sst>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d/m/yyyy"/>
    <numFmt numFmtId="167" formatCode="d\/m\/yy"/>
    <numFmt numFmtId="168" formatCode="ddd"/>
    <numFmt numFmtId="169" formatCode="@"/>
    <numFmt numFmtId="170" formatCode="m/d/yyyy"/>
    <numFmt numFmtId="171" formatCode="0"/>
    <numFmt numFmtId="172" formatCode="0%"/>
    <numFmt numFmtId="173" formatCode="General"/>
    <numFmt numFmtId="174" formatCode="d/m/yy"/>
    <numFmt numFmtId="175" formatCode="0.00"/>
    <numFmt numFmtId="176" formatCode="0.00000"/>
    <numFmt numFmtId="177" formatCode="\$#,##0.00"/>
    <numFmt numFmtId="178" formatCode="dd\/mm\/yy"/>
    <numFmt numFmtId="179" formatCode="[$ $]#,##0.00"/>
    <numFmt numFmtId="180" formatCode="mm/dd/yy"/>
    <numFmt numFmtId="181" formatCode="#,##0.00"/>
    <numFmt numFmtId="182" formatCode="mm/dd/yyyy"/>
  </numFmts>
  <fonts count="48">
    <font>
      <sz val="12"/>
      <color rgb="FF000000"/>
      <name val="Corbel"/>
      <family val="0"/>
      <charset val="1"/>
    </font>
    <font>
      <sz val="10"/>
      <name val="IBM Plex Sans"/>
      <family val="0"/>
    </font>
    <font>
      <sz val="10"/>
      <name val="IBM Plex Sans"/>
      <family val="0"/>
    </font>
    <font>
      <sz val="10"/>
      <name val="IBM Plex Sans"/>
      <family val="0"/>
    </font>
    <font>
      <b val="true"/>
      <sz val="24"/>
      <color rgb="FF156082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b val="true"/>
      <sz val="18"/>
      <color rgb="FFFFFFFF"/>
      <name val="Corbel"/>
      <family val="0"/>
      <charset val="1"/>
    </font>
    <font>
      <sz val="11"/>
      <color theme="1"/>
      <name val="Corbel"/>
      <family val="0"/>
      <charset val="1"/>
    </font>
    <font>
      <b val="true"/>
      <sz val="11"/>
      <color rgb="FF073763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9"/>
      <color rgb="FF000000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9"/>
      <color rgb="FFFFFFFF"/>
      <name val="IBM Plex Sans"/>
      <family val="0"/>
      <charset val="1"/>
    </font>
    <font>
      <b val="true"/>
      <sz val="16"/>
      <color rgb="FF7F7F7F"/>
      <name val="IBM Plex Sans"/>
      <family val="0"/>
      <charset val="1"/>
    </font>
    <font>
      <b val="true"/>
      <sz val="10"/>
      <color rgb="FFFFFFFF"/>
      <name val="IBM Plex Sans"/>
      <family val="0"/>
      <charset val="1"/>
    </font>
    <font>
      <b val="true"/>
      <sz val="8"/>
      <color rgb="FF000000"/>
      <name val="IBM Plex Sans"/>
      <family val="0"/>
      <charset val="1"/>
    </font>
    <font>
      <b val="true"/>
      <sz val="10"/>
      <color rgb="FF000000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IBM Plex Sans"/>
      <family val="0"/>
      <charset val="1"/>
    </font>
    <font>
      <b val="true"/>
      <sz val="10"/>
      <color theme="1"/>
      <name val="IBM Plex Sans"/>
      <family val="0"/>
      <charset val="1"/>
    </font>
    <font>
      <sz val="10"/>
      <color theme="1"/>
      <name val="Corbel"/>
      <family val="0"/>
      <charset val="1"/>
    </font>
    <font>
      <b val="true"/>
      <sz val="8"/>
      <color rgb="FF7F7F7F"/>
      <name val="IBM Plex Sans"/>
      <family val="0"/>
      <charset val="1"/>
    </font>
    <font>
      <b val="true"/>
      <sz val="10"/>
      <color rgb="FF7F7F7F"/>
      <name val="IBM Plex Sans"/>
      <family val="0"/>
      <charset val="1"/>
    </font>
    <font>
      <b val="true"/>
      <sz val="11"/>
      <color rgb="FF7F7F7F"/>
      <name val="IBM Plex Sans"/>
      <family val="0"/>
      <charset val="1"/>
    </font>
    <font>
      <b val="true"/>
      <sz val="15"/>
      <color rgb="FF7F7F7F"/>
      <name val="IBM Plex Sans"/>
      <family val="0"/>
      <charset val="1"/>
    </font>
    <font>
      <b val="true"/>
      <sz val="12"/>
      <color rgb="FF000000"/>
      <name val="IBM Plex Sans"/>
      <family val="0"/>
      <charset val="1"/>
    </font>
    <font>
      <sz val="10"/>
      <name val="IBM Plex Sans"/>
      <family val="2"/>
    </font>
    <font>
      <b val="true"/>
      <sz val="14"/>
      <color rgb="FFFFFFFF"/>
      <name val="Corbel"/>
      <family val="0"/>
      <charset val="1"/>
    </font>
    <font>
      <b val="true"/>
      <sz val="11"/>
      <color theme="1"/>
      <name val="Corbel"/>
      <family val="0"/>
      <charset val="1"/>
    </font>
    <font>
      <sz val="12"/>
      <color theme="1"/>
      <name val="Corbel"/>
      <family val="0"/>
      <charset val="1"/>
    </font>
    <font>
      <b val="true"/>
      <sz val="11"/>
      <color rgb="FFFFFFFF"/>
      <name val="Corbel"/>
      <family val="0"/>
      <charset val="1"/>
    </font>
    <font>
      <b val="true"/>
      <sz val="22"/>
      <color rgb="FF156082"/>
      <name val="IBM Plex Sans"/>
      <family val="0"/>
      <charset val="1"/>
    </font>
    <font>
      <b val="true"/>
      <sz val="18"/>
      <color rgb="FFFFFFFF"/>
      <name val="IBM Plex Sans"/>
      <family val="0"/>
      <charset val="1"/>
    </font>
    <font>
      <b val="true"/>
      <sz val="11"/>
      <color theme="1"/>
      <name val="IBM Plex Sans"/>
      <family val="0"/>
      <charset val="1"/>
    </font>
    <font>
      <b val="true"/>
      <sz val="14"/>
      <color rgb="FF156082"/>
      <name val="IBM Plex Sans"/>
      <family val="0"/>
      <charset val="1"/>
    </font>
    <font>
      <sz val="22"/>
      <color rgb="FF156082"/>
      <name val="IBM Plex Sans"/>
      <family val="0"/>
      <charset val="1"/>
    </font>
    <font>
      <sz val="11"/>
      <color rgb="FF2E75B5"/>
      <name val="IBM Plex Sans"/>
      <family val="0"/>
      <charset val="1"/>
    </font>
    <font>
      <sz val="7"/>
      <color rgb="FF2E75B5"/>
      <name val="IBM Plex Sans"/>
      <family val="0"/>
      <charset val="1"/>
    </font>
    <font>
      <sz val="9"/>
      <color rgb="FF000000"/>
      <name val="IBM Plex Sans"/>
      <family val="0"/>
      <charset val="1"/>
    </font>
    <font>
      <b val="true"/>
      <u val="single"/>
      <sz val="22"/>
      <color rgb="FFFFFFFF"/>
      <name val="IBM Plex Sans"/>
      <family val="0"/>
      <charset val="1"/>
    </font>
    <font>
      <b val="true"/>
      <sz val="9"/>
      <color rgb="FF404040"/>
      <name val="Corbel"/>
      <family val="2"/>
    </font>
    <font>
      <sz val="9"/>
      <color rgb="FF595959"/>
      <name val="IBM Plex Sans"/>
      <family val="2"/>
    </font>
    <font>
      <sz val="10"/>
      <color rgb="FF595959"/>
      <name val="IBM Plex Sans"/>
      <family val="2"/>
    </font>
    <font>
      <sz val="22"/>
      <color theme="4"/>
      <name val="IBM Plex Sans"/>
      <family val="0"/>
      <charset val="1"/>
    </font>
    <font>
      <b val="true"/>
      <sz val="10"/>
      <color rgb="FF008000"/>
      <name val="IBM Plex Sans"/>
      <family val="0"/>
      <charset val="1"/>
    </font>
    <font>
      <sz val="22"/>
      <color rgb="FF595959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b val="true"/>
      <sz val="14"/>
      <color rgb="FFFFFFFF"/>
      <name val="IBM Plex Sans"/>
      <family val="0"/>
      <charset val="1"/>
    </font>
  </fonts>
  <fills count="56">
    <fill>
      <patternFill patternType="none"/>
    </fill>
    <fill>
      <patternFill patternType="gray125"/>
    </fill>
    <fill>
      <patternFill patternType="darkGray">
        <fgColor rgb="FF125D80"/>
        <bgColor rgb="FF0A406C"/>
      </patternFill>
    </fill>
    <fill>
      <patternFill patternType="solid">
        <fgColor rgb="FFDEEAF6"/>
        <bgColor rgb="FFDCE7F0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9CC2E5"/>
        <bgColor rgb="FF9FC5E8"/>
      </patternFill>
    </fill>
    <fill>
      <patternFill patternType="solid">
        <fgColor rgb="FF5B9BD5"/>
        <bgColor rgb="FF7F97B4"/>
      </patternFill>
    </fill>
    <fill>
      <patternFill patternType="solid">
        <fgColor rgb="FF2969A2"/>
        <bgColor rgb="FF2E75B5"/>
      </patternFill>
    </fill>
    <fill>
      <patternFill patternType="solid">
        <fgColor rgb="FF0A406C"/>
        <bgColor rgb="FF125D80"/>
      </patternFill>
    </fill>
    <fill>
      <patternFill patternType="solid">
        <fgColor rgb="FF3D6B96"/>
        <bgColor rgb="FF2969A2"/>
      </patternFill>
    </fill>
    <fill>
      <patternFill patternType="solid">
        <fgColor rgb="FF45818E"/>
        <bgColor rgb="FF3D6B96"/>
      </patternFill>
    </fill>
    <fill>
      <patternFill patternType="solid">
        <fgColor rgb="FF999999"/>
        <bgColor rgb="FFA5A5A5"/>
      </patternFill>
    </fill>
    <fill>
      <patternFill patternType="solid">
        <fgColor rgb="FFDCE7F0"/>
        <bgColor rgb="FFDEEAF6"/>
      </patternFill>
    </fill>
    <fill>
      <patternFill patternType="solid">
        <fgColor rgb="FFD0E0E3"/>
        <bgColor rgb="FFD6DCE4"/>
      </patternFill>
    </fill>
    <fill>
      <patternFill patternType="solid">
        <fgColor rgb="FFF2F2F2"/>
        <bgColor rgb="FFF3F3F3"/>
      </patternFill>
    </fill>
    <fill>
      <patternFill patternType="solid">
        <fgColor rgb="FF57BB8A"/>
        <bgColor rgb="FF5B9BD5"/>
      </patternFill>
    </fill>
    <fill>
      <patternFill patternType="darkGray">
        <fgColor rgb="FFF3A39D"/>
        <bgColor rgb="FFF7CAAC"/>
      </patternFill>
    </fill>
    <fill>
      <patternFill patternType="solid">
        <fgColor rgb="FFFFFFFF"/>
        <bgColor rgb="FFF3F3F3"/>
      </patternFill>
    </fill>
    <fill>
      <patternFill patternType="solid">
        <fgColor rgb="FFB6D7A8"/>
        <bgColor rgb="FFCCCCCC"/>
      </patternFill>
    </fill>
    <fill>
      <patternFill patternType="solid">
        <fgColor rgb="FFF3A39D"/>
        <bgColor rgb="FFF7CAAC"/>
      </patternFill>
    </fill>
    <fill>
      <patternFill patternType="solid">
        <fgColor rgb="FF9FC5E8"/>
        <bgColor rgb="FF9CC2E5"/>
      </patternFill>
    </fill>
    <fill>
      <patternFill patternType="darkGray">
        <fgColor rgb="FFDBF1DE"/>
        <bgColor rgb="FFDCE7F0"/>
      </patternFill>
    </fill>
    <fill>
      <patternFill patternType="solid">
        <fgColor rgb="FF2F5496"/>
        <bgColor rgb="FF2969A2"/>
      </patternFill>
    </fill>
    <fill>
      <patternFill patternType="solid">
        <fgColor rgb="FFF3F3F3"/>
        <bgColor rgb="FFF2F2F2"/>
      </patternFill>
    </fill>
    <fill>
      <patternFill patternType="solid">
        <fgColor rgb="FFD9E2F3"/>
        <bgColor rgb="FFDCE7F0"/>
      </patternFill>
    </fill>
    <fill>
      <patternFill patternType="solid">
        <fgColor rgb="FFFCE5CD"/>
        <bgColor rgb="FFFBE4D5"/>
      </patternFill>
    </fill>
    <fill>
      <patternFill patternType="solid">
        <fgColor rgb="FFEFEFEF"/>
        <bgColor rgb="FFEFEFF1"/>
      </patternFill>
    </fill>
    <fill>
      <patternFill patternType="solid">
        <fgColor rgb="FFC9DAF8"/>
        <bgColor rgb="FFBDD6EE"/>
      </patternFill>
    </fill>
    <fill>
      <patternFill patternType="solid">
        <fgColor rgb="FFBDD6EE"/>
        <bgColor rgb="FFC9DAF8"/>
      </patternFill>
    </fill>
    <fill>
      <patternFill patternType="solid">
        <fgColor rgb="FF2E75B5"/>
        <bgColor rgb="FF2969A2"/>
      </patternFill>
    </fill>
    <fill>
      <patternFill patternType="solid">
        <fgColor rgb="FFC55A11"/>
        <bgColor rgb="FFED7D31"/>
      </patternFill>
    </fill>
    <fill>
      <patternFill patternType="solid">
        <fgColor rgb="FF7B7B7B"/>
        <bgColor rgb="FF7F7F7F"/>
      </patternFill>
    </fill>
    <fill>
      <patternFill patternType="solid">
        <fgColor rgb="FFBF9000"/>
        <bgColor rgb="FFED7D31"/>
      </patternFill>
    </fill>
    <fill>
      <patternFill patternType="solid">
        <fgColor rgb="FFB4C6E7"/>
        <bgColor rgb="FF9FC5E8"/>
      </patternFill>
    </fill>
    <fill>
      <patternFill patternType="solid">
        <fgColor rgb="FFF7CAAC"/>
        <bgColor rgb="FFFFE598"/>
      </patternFill>
    </fill>
    <fill>
      <patternFill patternType="solid">
        <fgColor rgb="FFDADADA"/>
        <bgColor rgb="FFD9D9D9"/>
      </patternFill>
    </fill>
    <fill>
      <patternFill patternType="solid">
        <fgColor rgb="FFFFE598"/>
        <bgColor rgb="FFFCE5CD"/>
      </patternFill>
    </fill>
    <fill>
      <patternFill patternType="solid">
        <fgColor rgb="FF4472C4"/>
        <bgColor rgb="FF2E75B5"/>
      </patternFill>
    </fill>
    <fill>
      <patternFill patternType="solid">
        <fgColor rgb="FFFBE4D5"/>
        <bgColor rgb="FFFCE5CD"/>
      </patternFill>
    </fill>
    <fill>
      <patternFill patternType="darkGray">
        <fgColor rgb="FFEFEFF1"/>
        <bgColor rgb="FFEFEFEF"/>
      </patternFill>
    </fill>
    <fill>
      <patternFill patternType="solid">
        <fgColor rgb="FFFEF2CB"/>
        <bgColor rgb="FFFFF2CC"/>
      </patternFill>
    </fill>
    <fill>
      <patternFill patternType="solid">
        <fgColor rgb="FFED7D31"/>
        <bgColor rgb="FFBF9000"/>
      </patternFill>
    </fill>
    <fill>
      <patternFill patternType="solid">
        <fgColor rgb="FF7F7F7F"/>
        <bgColor rgb="FF7B7B7B"/>
      </patternFill>
    </fill>
    <fill>
      <patternFill patternType="solid">
        <fgColor rgb="FF413E41"/>
        <bgColor rgb="FF414141"/>
      </patternFill>
    </fill>
    <fill>
      <patternFill patternType="darkGray">
        <fgColor rgb="FF04A71D"/>
        <bgColor rgb="FF57BB8A"/>
      </patternFill>
    </fill>
    <fill>
      <patternFill patternType="solid">
        <fgColor rgb="FF515760"/>
        <bgColor rgb="FF414141"/>
      </patternFill>
    </fill>
    <fill>
      <patternFill patternType="darkGray">
        <fgColor rgb="FF7F97B4"/>
        <bgColor rgb="FF5B9BD5"/>
      </patternFill>
    </fill>
    <fill>
      <patternFill patternType="darkGray">
        <fgColor rgb="FFFEBE03"/>
        <bgColor rgb="FFF3A39D"/>
      </patternFill>
    </fill>
    <fill>
      <patternFill patternType="solid">
        <fgColor rgb="FFD9D2E9"/>
        <bgColor rgb="FFD8D8D8"/>
      </patternFill>
    </fill>
    <fill>
      <patternFill patternType="solid">
        <fgColor rgb="FFFFF2CC"/>
        <bgColor rgb="FFFEF2CB"/>
      </patternFill>
    </fill>
    <fill>
      <patternFill patternType="solid">
        <fgColor rgb="FFD6DCE4"/>
        <bgColor rgb="FFDADADA"/>
      </patternFill>
    </fill>
    <fill>
      <patternFill patternType="solid">
        <fgColor rgb="FFEFEFF1"/>
        <bgColor rgb="FFEFEFEF"/>
      </patternFill>
    </fill>
    <fill>
      <patternFill patternType="solid">
        <fgColor rgb="FFFF0000"/>
        <bgColor rgb="FFC55A11"/>
      </patternFill>
    </fill>
    <fill>
      <patternFill patternType="solid">
        <fgColor rgb="FFFEBE03"/>
        <bgColor rgb="FFBF9000"/>
      </patternFill>
    </fill>
    <fill>
      <patternFill patternType="darkGray">
        <fgColor rgb="FF0A406C"/>
        <bgColor rgb="FF125D80"/>
      </patternFill>
    </fill>
  </fills>
  <borders count="250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B7B7BE"/>
      </left>
      <right/>
      <top style="medium">
        <color rgb="FFB7B7BE"/>
      </top>
      <bottom style="medium">
        <color rgb="FFB7B7BE"/>
      </bottom>
      <diagonal/>
    </border>
    <border diagonalUp="false" diagonalDown="false">
      <left/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medium">
        <color rgb="FFBFBFBF"/>
      </left>
      <right/>
      <top/>
      <bottom/>
      <diagonal/>
    </border>
    <border diagonalUp="false" diagonalDown="false">
      <left style="medium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medium">
        <color rgb="FFA5A5A5"/>
      </top>
      <bottom style="double">
        <color rgb="FFBFBFBF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A5A5A5"/>
      </top>
      <bottom style="double">
        <color rgb="FFBFBFBF"/>
      </bottom>
      <diagonal/>
    </border>
    <border diagonalUp="false" diagonalDown="false">
      <left/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thin">
        <color rgb="FFBFBFBF"/>
      </bottom>
      <diagonal/>
    </border>
    <border diagonalUp="false" diagonalDown="false">
      <left style="medium">
        <color rgb="FFBFBFBF"/>
      </left>
      <right/>
      <top/>
      <bottom style="thin">
        <color rgb="FFBFBFBF"/>
      </bottom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medium">
        <color rgb="FFB7B7BE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/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 diagonalUp="false" diagonalDown="false">
      <left style="medium">
        <color rgb="FFA5A5A5"/>
      </left>
      <right/>
      <top/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/>
      <bottom/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/>
      <right style="thin">
        <color rgb="FFBFBFBF"/>
      </right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999999"/>
      </top>
      <bottom style="thin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medium">
        <color rgb="FFBFBFBF"/>
      </top>
      <bottom style="medium">
        <color rgb="FFBFBFBF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medium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/>
      <diagonal/>
    </border>
    <border diagonalUp="false" diagonalDown="false">
      <left style="medium">
        <color rgb="FFA5A5A5"/>
      </left>
      <right/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/>
      <bottom/>
      <diagonal/>
    </border>
    <border diagonalUp="false" diagonalDown="false">
      <left/>
      <right style="medium">
        <color rgb="FFB7B7B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medium">
        <color rgb="FF999999"/>
      </right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medium">
        <color rgb="FFB7B7BE"/>
      </right>
      <top/>
      <bottom style="medium">
        <color rgb="FFB7B7BE"/>
      </bottom>
      <diagonal/>
    </border>
    <border diagonalUp="false" diagonalDown="false">
      <left/>
      <right style="thin">
        <color rgb="FFCCCCCC"/>
      </right>
      <top/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/>
      <diagonal/>
    </border>
    <border diagonalUp="false" diagonalDown="false">
      <left/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medium">
        <color rgb="FF04A71D"/>
      </left>
      <right/>
      <top style="medium">
        <color rgb="FF04A71D"/>
      </top>
      <bottom style="medium">
        <color rgb="FF04A71D"/>
      </bottom>
      <diagonal/>
    </border>
    <border diagonalUp="false" diagonalDown="false">
      <left/>
      <right style="medium">
        <color rgb="FF04A71D"/>
      </right>
      <top style="medium">
        <color rgb="FF04A71D"/>
      </top>
      <bottom style="medium">
        <color rgb="FF04A71D"/>
      </bottom>
      <diagonal/>
    </border>
    <border diagonalUp="false" diagonalDown="false">
      <left style="medium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/>
      <top style="thin">
        <color rgb="FFB7B7BE"/>
      </top>
      <bottom/>
      <diagonal/>
    </border>
    <border diagonalUp="false" diagonalDown="false">
      <left style="medium">
        <color rgb="FFB7B7BE"/>
      </left>
      <right/>
      <top/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/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/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7B7BE"/>
      </bottom>
      <diagonal/>
    </border>
    <border diagonalUp="false" diagonalDown="false">
      <left/>
      <right/>
      <top/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/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>
        <color rgb="FFA5A5A5"/>
      </right>
      <top/>
      <bottom/>
      <diagonal/>
    </border>
    <border diagonalUp="false" diagonalDown="false"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/>
      <right style="thin">
        <color rgb="FF414141"/>
      </right>
      <top style="thin">
        <color rgb="FF414141"/>
      </top>
      <bottom style="thin">
        <color rgb="FF414141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414141"/>
      </right>
      <top/>
      <bottom style="thin">
        <color rgb="FF414141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B7B7BE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/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1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4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6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6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6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7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9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10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7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1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15" borderId="1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15" borderId="1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1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7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7" fillId="0" borderId="1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5" borderId="2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9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9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2" borderId="1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9" fillId="19" borderId="15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23" borderId="1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3" borderId="1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4" borderId="1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2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3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25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6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7" borderId="1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3" borderId="1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8" fillId="25" borderId="16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8" fillId="25" borderId="1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8" fillId="25" borderId="1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25" borderId="1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7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7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28" borderId="1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8" borderId="17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28" borderId="1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3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2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3" fillId="2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9" fillId="27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25" borderId="1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5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25" borderId="18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34" fillId="25" borderId="1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8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8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8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6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34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19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7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7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19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8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8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5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2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2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19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20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2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9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5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9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1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3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1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3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3" fontId="14" fillId="4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4" fillId="44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4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9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9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3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3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4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0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7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2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3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2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15" borderId="2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3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15" borderId="16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1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1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4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2" fontId="17" fillId="52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1" borderId="2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5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3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4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2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7" fillId="55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44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5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8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B6D7A8"/>
        </patternFill>
      </fill>
    </dxf>
    <dxf>
      <fill>
        <patternFill>
          <bgColor rgb="FFEA9999"/>
        </patternFill>
      </fill>
    </dxf>
    <dxf>
      <fill>
        <patternFill>
          <bgColor rgb="FF9FC5E8"/>
        </patternFill>
      </fill>
    </dxf>
    <dxf>
      <fill>
        <patternFill>
          <bgColor rgb="FFDEEAF6"/>
        </patternFill>
      </fill>
    </dxf>
    <dxf>
      <fill>
        <patternFill>
          <bgColor rgb="FF9CC2E5"/>
        </patternFill>
      </fill>
    </dxf>
    <dxf>
      <fill>
        <patternFill>
          <bgColor rgb="FF5B9BD5"/>
        </patternFill>
      </fill>
    </dxf>
    <dxf>
      <fill>
        <patternFill>
          <bgColor rgb="FF2969A2"/>
        </patternFill>
      </fill>
    </dxf>
    <dxf>
      <fill>
        <patternFill>
          <bgColor rgb="FF1B466C"/>
        </patternFill>
      </fill>
    </dxf>
    <dxf>
      <font>
        <color rgb="FFFFFFFF"/>
      </font>
      <fill>
        <patternFill>
          <bgColor rgb="FF7F7F7F"/>
        </patternFill>
      </fill>
    </dxf>
    <dxf>
      <font>
        <color rgb="FFFFFFFF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BDD6EE"/>
      <rgbColor rgb="FFEFEFF1"/>
      <rgbColor rgb="FFFFE598"/>
      <rgbColor rgb="FFD9D2E9"/>
      <rgbColor rgb="FF9CC2E5"/>
      <rgbColor rgb="FFD9E2F3"/>
      <rgbColor rgb="FF04A71D"/>
      <rgbColor rgb="FFF2F2F2"/>
      <rgbColor rgb="FF3D6B96"/>
      <rgbColor rgb="FFD9D9D9"/>
      <rgbColor rgb="FF125D80"/>
      <rgbColor rgb="FFBFBFBF"/>
      <rgbColor rgb="FF7F7F7F"/>
      <rgbColor rgb="FF7F97B4"/>
      <rgbColor rgb="FF515760"/>
      <rgbColor rgb="FFFFF2CC"/>
      <rgbColor rgb="FFDEEAF6"/>
      <rgbColor rgb="FFD6DCE4"/>
      <rgbColor rgb="FFA5A5A5"/>
      <rgbColor rgb="FF2969A2"/>
      <rgbColor rgb="FFC9DAF8"/>
      <rgbColor rgb="FFF3F3F3"/>
      <rgbColor rgb="FFD8D8D8"/>
      <rgbColor rgb="FFFCE5CD"/>
      <rgbColor rgb="FFB4C6E7"/>
      <rgbColor rgb="FFDADADA"/>
      <rgbColor rgb="FFFBE4D5"/>
      <rgbColor rgb="FF2E75B5"/>
      <rgbColor rgb="FFEFEFEF"/>
      <rgbColor rgb="FF5B9BD5"/>
      <rgbColor rgb="FFDCE7F0"/>
      <rgbColor rgb="FFDBF1DE"/>
      <rgbColor rgb="FFFEF2CB"/>
      <rgbColor rgb="FF9FC5E8"/>
      <rgbColor rgb="FFF3A39D"/>
      <rgbColor rgb="FFB7B7BE"/>
      <rgbColor rgb="FFF7CAAC"/>
      <rgbColor rgb="FF4472C4"/>
      <rgbColor rgb="FF57BB8A"/>
      <rgbColor rgb="FFB6D7A8"/>
      <rgbColor rgb="FFFEBE03"/>
      <rgbColor rgb="FFBF9000"/>
      <rgbColor rgb="FFED7D31"/>
      <rgbColor rgb="FF7B7B7B"/>
      <rgbColor rgb="FF999999"/>
      <rgbColor rgb="FF0A406C"/>
      <rgbColor rgb="FF45818E"/>
      <rgbColor rgb="FFD0E0E3"/>
      <rgbColor rgb="FF414141"/>
      <rgbColor rgb="FFC55A11"/>
      <rgbColor rgb="FFCCCCCC"/>
      <rgbColor rgb="FF2F5496"/>
      <rgbColor rgb="FF413E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Mgmt'!$M$38:$BT$38</c:f>
              <c:numCache>
                <c:formatCode>General</c:formatCode>
                <c:ptCount val="60"/>
                <c:pt idx="0">
                  <c:v>8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20</c:v>
                </c:pt>
                <c:pt idx="5">
                  <c:v>11</c:v>
                </c:pt>
                <c:pt idx="6">
                  <c:v>16</c:v>
                </c:pt>
                <c:pt idx="7">
                  <c:v>42</c:v>
                </c:pt>
                <c:pt idx="8">
                  <c:v>45</c:v>
                </c:pt>
                <c:pt idx="9">
                  <c:v>20</c:v>
                </c:pt>
                <c:pt idx="10">
                  <c:v>10</c:v>
                </c:pt>
                <c:pt idx="11">
                  <c:v>16</c:v>
                </c:pt>
                <c:pt idx="12">
                  <c:v>24</c:v>
                </c:pt>
                <c:pt idx="13">
                  <c:v>48</c:v>
                </c:pt>
                <c:pt idx="14">
                  <c:v>20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8</c:v>
                </c:pt>
                <c:pt idx="19">
                  <c:v>8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2</c:v>
                </c:pt>
              </c:numCache>
            </c:numRef>
          </c:val>
        </c:ser>
        <c:gapWidth val="150"/>
        <c:overlap val="0"/>
        <c:axId val="95241929"/>
        <c:axId val="52462181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Mgmt'!$M$36:$BT$36</c:f>
              <c:numCache>
                <c:formatCode>General</c:formatCode>
                <c:ptCount val="60"/>
                <c:pt idx="0">
                  <c:v>617</c:v>
                </c:pt>
                <c:pt idx="1">
                  <c:v>606.716666666667</c:v>
                </c:pt>
                <c:pt idx="2">
                  <c:v>596.433333333333</c:v>
                </c:pt>
                <c:pt idx="3">
                  <c:v>586.15</c:v>
                </c:pt>
                <c:pt idx="4">
                  <c:v>575.866666666667</c:v>
                </c:pt>
                <c:pt idx="5">
                  <c:v>565.583333333334</c:v>
                </c:pt>
                <c:pt idx="6">
                  <c:v>555.3</c:v>
                </c:pt>
                <c:pt idx="7">
                  <c:v>545.016666666667</c:v>
                </c:pt>
                <c:pt idx="8">
                  <c:v>534.733333333334</c:v>
                </c:pt>
                <c:pt idx="9">
                  <c:v>524.45</c:v>
                </c:pt>
                <c:pt idx="10">
                  <c:v>514.166666666667</c:v>
                </c:pt>
                <c:pt idx="11">
                  <c:v>503.883333333334</c:v>
                </c:pt>
                <c:pt idx="12">
                  <c:v>493.6</c:v>
                </c:pt>
                <c:pt idx="13">
                  <c:v>483.316666666667</c:v>
                </c:pt>
                <c:pt idx="14">
                  <c:v>473.033333333334</c:v>
                </c:pt>
                <c:pt idx="15">
                  <c:v>462.75</c:v>
                </c:pt>
                <c:pt idx="16">
                  <c:v>452.466666666667</c:v>
                </c:pt>
                <c:pt idx="17">
                  <c:v>442.183333333333</c:v>
                </c:pt>
                <c:pt idx="18">
                  <c:v>431.9</c:v>
                </c:pt>
                <c:pt idx="19">
                  <c:v>421.616666666667</c:v>
                </c:pt>
                <c:pt idx="20">
                  <c:v>411.333333333333</c:v>
                </c:pt>
                <c:pt idx="21">
                  <c:v>401.05</c:v>
                </c:pt>
                <c:pt idx="22">
                  <c:v>390.766666666667</c:v>
                </c:pt>
                <c:pt idx="23">
                  <c:v>380.483333333333</c:v>
                </c:pt>
                <c:pt idx="24">
                  <c:v>370.2</c:v>
                </c:pt>
                <c:pt idx="25">
                  <c:v>359.916666666667</c:v>
                </c:pt>
                <c:pt idx="26">
                  <c:v>349.633333333333</c:v>
                </c:pt>
                <c:pt idx="27">
                  <c:v>339.35</c:v>
                </c:pt>
                <c:pt idx="28">
                  <c:v>329.066666666667</c:v>
                </c:pt>
                <c:pt idx="29">
                  <c:v>318.783333333333</c:v>
                </c:pt>
                <c:pt idx="30">
                  <c:v>308.5</c:v>
                </c:pt>
                <c:pt idx="31">
                  <c:v>298.216666666666</c:v>
                </c:pt>
                <c:pt idx="32">
                  <c:v>287.933333333333</c:v>
                </c:pt>
                <c:pt idx="33">
                  <c:v>277.65</c:v>
                </c:pt>
                <c:pt idx="34">
                  <c:v>267.366666666666</c:v>
                </c:pt>
                <c:pt idx="35">
                  <c:v>257.083333333333</c:v>
                </c:pt>
                <c:pt idx="36">
                  <c:v>246.8</c:v>
                </c:pt>
                <c:pt idx="37">
                  <c:v>236.516666666666</c:v>
                </c:pt>
                <c:pt idx="38">
                  <c:v>226.233333333333</c:v>
                </c:pt>
                <c:pt idx="39">
                  <c:v>215.95</c:v>
                </c:pt>
                <c:pt idx="40">
                  <c:v>205.666666666666</c:v>
                </c:pt>
                <c:pt idx="41">
                  <c:v>195.383333333333</c:v>
                </c:pt>
                <c:pt idx="42">
                  <c:v>185.1</c:v>
                </c:pt>
                <c:pt idx="43">
                  <c:v>174.816666666666</c:v>
                </c:pt>
                <c:pt idx="44">
                  <c:v>164.533333333333</c:v>
                </c:pt>
                <c:pt idx="45">
                  <c:v>154.25</c:v>
                </c:pt>
                <c:pt idx="46">
                  <c:v>143.966666666666</c:v>
                </c:pt>
                <c:pt idx="47">
                  <c:v>133.683333333333</c:v>
                </c:pt>
                <c:pt idx="48">
                  <c:v>123.4</c:v>
                </c:pt>
                <c:pt idx="49">
                  <c:v>113.116666666666</c:v>
                </c:pt>
                <c:pt idx="50">
                  <c:v>102.833333333333</c:v>
                </c:pt>
                <c:pt idx="51">
                  <c:v>92.5499999999997</c:v>
                </c:pt>
                <c:pt idx="52">
                  <c:v>82.2666666666663</c:v>
                </c:pt>
                <c:pt idx="53">
                  <c:v>71.983333333333</c:v>
                </c:pt>
                <c:pt idx="54">
                  <c:v>61.6999999999997</c:v>
                </c:pt>
                <c:pt idx="55">
                  <c:v>51.4166666666663</c:v>
                </c:pt>
                <c:pt idx="56">
                  <c:v>41.133333333333</c:v>
                </c:pt>
                <c:pt idx="57">
                  <c:v>30.8499999999997</c:v>
                </c:pt>
                <c:pt idx="58">
                  <c:v>20.5666666666664</c:v>
                </c:pt>
                <c:pt idx="59">
                  <c:v>10.283333333333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Mgmt'!$M$37:$BT$37</c:f>
              <c:numCache>
                <c:formatCode>General</c:formatCode>
                <c:ptCount val="60"/>
                <c:pt idx="0">
                  <c:v>617</c:v>
                </c:pt>
                <c:pt idx="1">
                  <c:v>609</c:v>
                </c:pt>
                <c:pt idx="2">
                  <c:v>589</c:v>
                </c:pt>
                <c:pt idx="3">
                  <c:v>559</c:v>
                </c:pt>
                <c:pt idx="4">
                  <c:v>519</c:v>
                </c:pt>
                <c:pt idx="5">
                  <c:v>499</c:v>
                </c:pt>
                <c:pt idx="6">
                  <c:v>488</c:v>
                </c:pt>
                <c:pt idx="7">
                  <c:v>472</c:v>
                </c:pt>
                <c:pt idx="8">
                  <c:v>430</c:v>
                </c:pt>
                <c:pt idx="9">
                  <c:v>385</c:v>
                </c:pt>
                <c:pt idx="10">
                  <c:v>365</c:v>
                </c:pt>
                <c:pt idx="11">
                  <c:v>355</c:v>
                </c:pt>
                <c:pt idx="12">
                  <c:v>339</c:v>
                </c:pt>
                <c:pt idx="13">
                  <c:v>315</c:v>
                </c:pt>
                <c:pt idx="14">
                  <c:v>267</c:v>
                </c:pt>
                <c:pt idx="15">
                  <c:v>247</c:v>
                </c:pt>
                <c:pt idx="16">
                  <c:v>243</c:v>
                </c:pt>
                <c:pt idx="17">
                  <c:v>238</c:v>
                </c:pt>
                <c:pt idx="18">
                  <c:v>234</c:v>
                </c:pt>
                <c:pt idx="19">
                  <c:v>226</c:v>
                </c:pt>
                <c:pt idx="20">
                  <c:v>218</c:v>
                </c:pt>
                <c:pt idx="21">
                  <c:v>213</c:v>
                </c:pt>
                <c:pt idx="22">
                  <c:v>208</c:v>
                </c:pt>
                <c:pt idx="23">
                  <c:v>203</c:v>
                </c:pt>
                <c:pt idx="24">
                  <c:v>200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"HRS REMAINING"</c:f>
              <c:strCache>
                <c:ptCount val="1"/>
                <c:pt idx="0">
                  <c:v>HRS REMAINING</c:v>
                </c:pt>
              </c:strCache>
            </c:strRef>
          </c:tx>
          <c:spPr>
            <a:solidFill>
              <a:srgbClr val="ffc000"/>
            </a:solidFill>
            <a:ln w="2844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Mgmt'!$M$39:$BT$39</c:f>
              <c:numCache>
                <c:formatCode>General</c:formatCode>
                <c:ptCount val="60"/>
                <c:pt idx="0">
                  <c:v>609</c:v>
                </c:pt>
                <c:pt idx="1">
                  <c:v>589</c:v>
                </c:pt>
                <c:pt idx="2">
                  <c:v>559</c:v>
                </c:pt>
                <c:pt idx="3">
                  <c:v>519</c:v>
                </c:pt>
                <c:pt idx="4">
                  <c:v>499</c:v>
                </c:pt>
                <c:pt idx="5">
                  <c:v>488</c:v>
                </c:pt>
                <c:pt idx="6">
                  <c:v>472</c:v>
                </c:pt>
                <c:pt idx="7">
                  <c:v>430</c:v>
                </c:pt>
                <c:pt idx="8">
                  <c:v>385</c:v>
                </c:pt>
                <c:pt idx="9">
                  <c:v>365</c:v>
                </c:pt>
                <c:pt idx="10">
                  <c:v>355</c:v>
                </c:pt>
                <c:pt idx="11">
                  <c:v>339</c:v>
                </c:pt>
                <c:pt idx="12">
                  <c:v>315</c:v>
                </c:pt>
                <c:pt idx="13">
                  <c:v>267</c:v>
                </c:pt>
                <c:pt idx="14">
                  <c:v>247</c:v>
                </c:pt>
                <c:pt idx="15">
                  <c:v>243</c:v>
                </c:pt>
                <c:pt idx="16">
                  <c:v>238</c:v>
                </c:pt>
                <c:pt idx="17">
                  <c:v>234</c:v>
                </c:pt>
                <c:pt idx="18">
                  <c:v>226</c:v>
                </c:pt>
                <c:pt idx="19">
                  <c:v>218</c:v>
                </c:pt>
                <c:pt idx="20">
                  <c:v>213</c:v>
                </c:pt>
                <c:pt idx="21">
                  <c:v>208</c:v>
                </c:pt>
                <c:pt idx="22">
                  <c:v>203</c:v>
                </c:pt>
                <c:pt idx="23">
                  <c:v>200</c:v>
                </c:pt>
                <c:pt idx="24">
                  <c:v>198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241929"/>
        <c:axId val="52462181"/>
      </c:lineChart>
      <c:catAx>
        <c:axId val="952419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52462181"/>
        <c:crosses val="autoZero"/>
        <c:auto val="1"/>
        <c:lblAlgn val="ctr"/>
        <c:lblOffset val="100"/>
        <c:noMultiLvlLbl val="0"/>
      </c:catAx>
      <c:valAx>
        <c:axId val="524621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952419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Mg'!$M$66:$BT$66</c:f>
              <c:numCache>
                <c:formatCode>General</c:formatCode>
                <c:ptCount val="60"/>
              </c:numCache>
            </c:numRef>
          </c:val>
        </c:ser>
        <c:gapWidth val="150"/>
        <c:overlap val="0"/>
        <c:axId val="10937874"/>
        <c:axId val="94370925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Mg'!$M$64:$BT$64</c:f>
              <c:numCache>
                <c:formatCode>General</c:formatCode>
                <c:ptCount val="60"/>
                <c:pt idx="0">
                  <c:v>138</c:v>
                </c:pt>
                <c:pt idx="1">
                  <c:v>130.736842105263</c:v>
                </c:pt>
                <c:pt idx="2">
                  <c:v>123.473684210526</c:v>
                </c:pt>
                <c:pt idx="3">
                  <c:v>116.210526315789</c:v>
                </c:pt>
                <c:pt idx="4">
                  <c:v>108.947368421053</c:v>
                </c:pt>
                <c:pt idx="5">
                  <c:v>101.684210526316</c:v>
                </c:pt>
                <c:pt idx="6">
                  <c:v>94.4210526315789</c:v>
                </c:pt>
                <c:pt idx="7">
                  <c:v>87.1578947368421</c:v>
                </c:pt>
                <c:pt idx="8">
                  <c:v>79.8947368421052</c:v>
                </c:pt>
                <c:pt idx="9">
                  <c:v>72.6315789473684</c:v>
                </c:pt>
                <c:pt idx="10">
                  <c:v>65.3684210526315</c:v>
                </c:pt>
                <c:pt idx="11">
                  <c:v>58.1052631578947</c:v>
                </c:pt>
                <c:pt idx="12">
                  <c:v>50.8421052631578</c:v>
                </c:pt>
                <c:pt idx="13">
                  <c:v>43.578947368421</c:v>
                </c:pt>
                <c:pt idx="14">
                  <c:v>36.3157894736841</c:v>
                </c:pt>
                <c:pt idx="15">
                  <c:v>29.0526315789473</c:v>
                </c:pt>
                <c:pt idx="16">
                  <c:v>21.7894736842105</c:v>
                </c:pt>
                <c:pt idx="17">
                  <c:v>14.5263157894736</c:v>
                </c:pt>
                <c:pt idx="18">
                  <c:v>7.26315789473676</c:v>
                </c:pt>
                <c:pt idx="19">
                  <c:v>-7.8159700933611E-014</c:v>
                </c:pt>
                <c:pt idx="20">
                  <c:v>-7.26315789473692</c:v>
                </c:pt>
                <c:pt idx="21">
                  <c:v>-14.5263157894738</c:v>
                </c:pt>
                <c:pt idx="22">
                  <c:v>-21.7894736842106</c:v>
                </c:pt>
                <c:pt idx="23">
                  <c:v>-29.0526315789474</c:v>
                </c:pt>
                <c:pt idx="24">
                  <c:v>-36.3157894736843</c:v>
                </c:pt>
                <c:pt idx="25">
                  <c:v>-43.5789473684211</c:v>
                </c:pt>
                <c:pt idx="26">
                  <c:v>-50.842105263158</c:v>
                </c:pt>
                <c:pt idx="27">
                  <c:v>-58.1052631578948</c:v>
                </c:pt>
                <c:pt idx="28">
                  <c:v>-65.3684210526317</c:v>
                </c:pt>
                <c:pt idx="29">
                  <c:v>-72.6315789473685</c:v>
                </c:pt>
                <c:pt idx="30">
                  <c:v>-79.8947368421054</c:v>
                </c:pt>
                <c:pt idx="31">
                  <c:v>-87.1578947368422</c:v>
                </c:pt>
                <c:pt idx="32">
                  <c:v>-94.421052631579</c:v>
                </c:pt>
                <c:pt idx="33">
                  <c:v>-101.684210526316</c:v>
                </c:pt>
                <c:pt idx="34">
                  <c:v>-108.947368421053</c:v>
                </c:pt>
                <c:pt idx="35">
                  <c:v>-116.21052631579</c:v>
                </c:pt>
                <c:pt idx="36">
                  <c:v>-123.473684210526</c:v>
                </c:pt>
                <c:pt idx="37">
                  <c:v>-130.736842105263</c:v>
                </c:pt>
                <c:pt idx="38">
                  <c:v>-138</c:v>
                </c:pt>
                <c:pt idx="39">
                  <c:v>-145.263157894737</c:v>
                </c:pt>
                <c:pt idx="40">
                  <c:v>-152.526315789474</c:v>
                </c:pt>
                <c:pt idx="41">
                  <c:v>-159.789473684211</c:v>
                </c:pt>
                <c:pt idx="42">
                  <c:v>-167.052631578948</c:v>
                </c:pt>
                <c:pt idx="43">
                  <c:v>-174.315789473684</c:v>
                </c:pt>
                <c:pt idx="44">
                  <c:v>-181.578947368421</c:v>
                </c:pt>
                <c:pt idx="45">
                  <c:v>-188.842105263158</c:v>
                </c:pt>
                <c:pt idx="46">
                  <c:v>-196.105263157895</c:v>
                </c:pt>
                <c:pt idx="47">
                  <c:v>-203.368421052632</c:v>
                </c:pt>
                <c:pt idx="48">
                  <c:v>-210.631578947369</c:v>
                </c:pt>
                <c:pt idx="49">
                  <c:v>-217.894736842106</c:v>
                </c:pt>
                <c:pt idx="50">
                  <c:v>-225.157894736842</c:v>
                </c:pt>
                <c:pt idx="51">
                  <c:v>-232.421052631579</c:v>
                </c:pt>
                <c:pt idx="52">
                  <c:v>-239.684210526316</c:v>
                </c:pt>
                <c:pt idx="53">
                  <c:v>-246.947368421053</c:v>
                </c:pt>
                <c:pt idx="54">
                  <c:v>-254.21052631579</c:v>
                </c:pt>
                <c:pt idx="55">
                  <c:v>-261.473684210527</c:v>
                </c:pt>
                <c:pt idx="56">
                  <c:v>-268.736842105263</c:v>
                </c:pt>
                <c:pt idx="57">
                  <c:v>-276</c:v>
                </c:pt>
                <c:pt idx="58">
                  <c:v>-283.263157894737</c:v>
                </c:pt>
                <c:pt idx="59">
                  <c:v>-290.526315789474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937874"/>
        <c:axId val="94370925"/>
      </c:lineChart>
      <c:catAx>
        <c:axId val="10937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94370925"/>
        <c:crosses val="autoZero"/>
        <c:auto val="1"/>
        <c:lblAlgn val="ctr"/>
        <c:lblOffset val="100"/>
        <c:noMultiLvlLbl val="0"/>
      </c:catAx>
      <c:valAx>
        <c:axId val="9437092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10937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40</xdr:row>
      <xdr:rowOff>0</xdr:rowOff>
    </xdr:from>
    <xdr:to>
      <xdr:col>59</xdr:col>
      <xdr:colOff>263520</xdr:colOff>
      <xdr:row>41</xdr:row>
      <xdr:rowOff>2697120</xdr:rowOff>
    </xdr:to>
    <xdr:graphicFrame>
      <xdr:nvGraphicFramePr>
        <xdr:cNvPr id="0" name="Chart 1"/>
        <xdr:cNvGraphicFramePr/>
      </xdr:nvGraphicFramePr>
      <xdr:xfrm>
        <a:off x="200160" y="11496600"/>
        <a:ext cx="31920120" cy="754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68</xdr:row>
      <xdr:rowOff>571680</xdr:rowOff>
    </xdr:from>
    <xdr:to>
      <xdr:col>60</xdr:col>
      <xdr:colOff>219960</xdr:colOff>
      <xdr:row>72</xdr:row>
      <xdr:rowOff>116280</xdr:rowOff>
    </xdr:to>
    <xdr:graphicFrame>
      <xdr:nvGraphicFramePr>
        <xdr:cNvPr id="1" name="Chart 1"/>
        <xdr:cNvGraphicFramePr/>
      </xdr:nvGraphicFramePr>
      <xdr:xfrm>
        <a:off x="200160" y="19926360"/>
        <a:ext cx="31920120" cy="754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 pitchFamily="0" charset="1"/>
        <a:ea typeface="Corbel" pitchFamily="0" charset="1"/>
        <a:cs typeface="Corbel" pitchFamily="0" charset="1"/>
      </a:majorFont>
      <a:minorFont>
        <a:latin typeface="Corbel" pitchFamily="0" charset="1"/>
        <a:ea typeface="Corbel" pitchFamily="0" charset="1"/>
        <a:cs typeface="Corbe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KG1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E11" activePane="bottomLeft" state="frozen"/>
      <selection pane="topLeft" activeCell="A1" activeCellId="0" sqref="A1"/>
      <selection pane="bottomLeft" activeCell="E11" activeCellId="0" sqref="E11"/>
    </sheetView>
  </sheetViews>
  <sheetFormatPr defaultColWidth="11.22265625" defaultRowHeight="15" zeroHeight="false" outlineLevelRow="1" outlineLevelCol="0"/>
  <cols>
    <col collapsed="false" customWidth="true" hidden="false" outlineLevel="0" max="1" min="1" style="1" width="3.67"/>
    <col collapsed="false" customWidth="true" hidden="false" outlineLevel="0" max="2" min="2" style="1" width="4"/>
    <col collapsed="false" customWidth="true" hidden="false" outlineLevel="0" max="3" min="3" style="1" width="59.78"/>
    <col collapsed="false" customWidth="true" hidden="false" outlineLevel="0" max="4" min="4" style="1" width="36.89"/>
    <col collapsed="false" customWidth="true" hidden="false" outlineLevel="0" max="5" min="5" style="1" width="6.56"/>
    <col collapsed="false" customWidth="true" hidden="false" outlineLevel="0" max="7" min="6" style="1" width="7.11"/>
    <col collapsed="false" customWidth="true" hidden="false" outlineLevel="0" max="8" min="8" style="1" width="5.11"/>
    <col collapsed="false" customWidth="true" hidden="false" outlineLevel="0" max="9" min="9" style="1" width="9.78"/>
    <col collapsed="false" customWidth="true" hidden="false" outlineLevel="0" max="10" min="10" style="1" width="7.78"/>
    <col collapsed="false" customWidth="true" hidden="false" outlineLevel="0" max="11" min="11" style="1" width="8.44"/>
    <col collapsed="false" customWidth="true" hidden="false" outlineLevel="0" max="12" min="12" style="1" width="7"/>
    <col collapsed="false" customWidth="true" hidden="false" outlineLevel="0" max="13" min="13" style="1" width="9.78"/>
    <col collapsed="false" customWidth="true" hidden="false" outlineLevel="0" max="120" min="14" style="1" width="3.78"/>
    <col collapsed="false" customWidth="true" hidden="true" outlineLevel="0" max="127" min="121" style="1" width="3.78"/>
    <col collapsed="false" customWidth="true" hidden="false" outlineLevel="0" max="293" min="128" style="1" width="3.78"/>
  </cols>
  <sheetData>
    <row r="1" customFormat="false" ht="34.5" hidden="false" customHeight="true" outlineLevel="0" collapsed="false">
      <c r="A1" s="2"/>
      <c r="C1" s="3" t="s">
        <v>0</v>
      </c>
      <c r="D1" s="3"/>
      <c r="E1" s="3"/>
      <c r="F1" s="3"/>
      <c r="G1" s="4"/>
      <c r="H1" s="5"/>
      <c r="I1" s="5"/>
      <c r="J1" s="4"/>
      <c r="K1" s="4"/>
      <c r="L1" s="4"/>
      <c r="M1" s="4"/>
      <c r="N1" s="6" t="s">
        <v>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</row>
    <row r="2" customFormat="false" ht="21.75" hidden="false" customHeight="true" outlineLevel="0" collapsed="false">
      <c r="A2" s="7"/>
      <c r="B2" s="7"/>
      <c r="C2" s="7"/>
      <c r="D2" s="7"/>
      <c r="E2" s="7"/>
      <c r="F2" s="7"/>
      <c r="G2" s="7"/>
      <c r="H2" s="8"/>
      <c r="I2" s="8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</row>
    <row r="3" customFormat="false" ht="22.5" hidden="false" customHeight="true" outlineLevel="0" collapsed="false">
      <c r="A3" s="9"/>
      <c r="B3" s="9"/>
      <c r="C3" s="10" t="s">
        <v>2</v>
      </c>
      <c r="D3" s="11" t="s">
        <v>3</v>
      </c>
      <c r="E3" s="9"/>
      <c r="F3" s="9"/>
      <c r="G3" s="9"/>
      <c r="H3" s="8"/>
      <c r="I3" s="8"/>
      <c r="J3" s="9"/>
      <c r="K3" s="9"/>
      <c r="L3" s="12" t="s">
        <v>4</v>
      </c>
      <c r="M3" s="13" t="n">
        <v>1</v>
      </c>
      <c r="N3" s="14"/>
      <c r="O3" s="14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</row>
    <row r="4" customFormat="false" ht="22.5" hidden="false" customHeight="true" outlineLevel="0" collapsed="false">
      <c r="A4" s="9"/>
      <c r="B4" s="9"/>
      <c r="C4" s="10" t="s">
        <v>5</v>
      </c>
      <c r="D4" s="17" t="n">
        <v>46076</v>
      </c>
      <c r="E4" s="9"/>
      <c r="F4" s="9"/>
      <c r="G4" s="9"/>
      <c r="H4" s="8"/>
      <c r="I4" s="8"/>
      <c r="J4" s="9"/>
      <c r="K4" s="9"/>
      <c r="L4" s="12"/>
      <c r="M4" s="18" t="n">
        <v>2</v>
      </c>
      <c r="N4" s="19"/>
      <c r="O4" s="19"/>
      <c r="P4" s="19"/>
      <c r="Q4" s="20"/>
      <c r="R4" s="20"/>
      <c r="S4" s="20"/>
      <c r="T4" s="20"/>
      <c r="U4" s="20"/>
      <c r="V4" s="20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  <c r="FY4" s="21"/>
      <c r="FZ4" s="21"/>
      <c r="GA4" s="21"/>
      <c r="GB4" s="21"/>
      <c r="GC4" s="21"/>
      <c r="GD4" s="21"/>
      <c r="GE4" s="21"/>
      <c r="GF4" s="21"/>
      <c r="GG4" s="21"/>
      <c r="GH4" s="21"/>
      <c r="GI4" s="21"/>
      <c r="GJ4" s="21"/>
      <c r="GK4" s="21"/>
      <c r="GL4" s="21"/>
      <c r="GM4" s="21"/>
      <c r="GN4" s="21"/>
      <c r="GO4" s="21"/>
      <c r="GP4" s="21"/>
      <c r="GQ4" s="21"/>
      <c r="GR4" s="21"/>
      <c r="GS4" s="21"/>
      <c r="GT4" s="21"/>
      <c r="GU4" s="21"/>
      <c r="GV4" s="21"/>
      <c r="GW4" s="21"/>
      <c r="GX4" s="21"/>
      <c r="GY4" s="21"/>
      <c r="GZ4" s="21"/>
      <c r="HA4" s="21"/>
      <c r="HB4" s="21"/>
      <c r="HC4" s="21"/>
      <c r="HD4" s="21"/>
      <c r="HE4" s="21"/>
      <c r="HF4" s="21"/>
      <c r="HG4" s="21"/>
      <c r="HH4" s="21"/>
      <c r="HI4" s="21"/>
      <c r="HJ4" s="21"/>
      <c r="HK4" s="21"/>
      <c r="HL4" s="21"/>
      <c r="HM4" s="21"/>
      <c r="HN4" s="21"/>
      <c r="HO4" s="21"/>
      <c r="HP4" s="21"/>
      <c r="HQ4" s="21"/>
      <c r="HR4" s="21"/>
      <c r="HS4" s="21"/>
      <c r="HT4" s="21"/>
      <c r="HU4" s="21"/>
      <c r="HV4" s="21"/>
      <c r="HW4" s="21"/>
      <c r="HX4" s="21"/>
      <c r="HY4" s="21"/>
      <c r="HZ4" s="21"/>
      <c r="IA4" s="21"/>
      <c r="IB4" s="21"/>
      <c r="IC4" s="21"/>
      <c r="ID4" s="21"/>
      <c r="IE4" s="21"/>
      <c r="IF4" s="21"/>
      <c r="IG4" s="21"/>
      <c r="IH4" s="21"/>
      <c r="II4" s="21"/>
      <c r="IJ4" s="21"/>
      <c r="IK4" s="21"/>
      <c r="IL4" s="21"/>
      <c r="IM4" s="21"/>
      <c r="IN4" s="21"/>
      <c r="IO4" s="21"/>
      <c r="IP4" s="21"/>
      <c r="IQ4" s="21"/>
      <c r="IR4" s="21"/>
      <c r="IS4" s="21"/>
      <c r="IT4" s="21"/>
      <c r="IU4" s="21"/>
      <c r="IV4" s="21"/>
      <c r="IW4" s="21"/>
      <c r="IX4" s="21"/>
      <c r="IY4" s="21"/>
      <c r="IZ4" s="21"/>
      <c r="JA4" s="21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1"/>
      <c r="JV4" s="21"/>
      <c r="JW4" s="21"/>
      <c r="JX4" s="21"/>
      <c r="JY4" s="21"/>
      <c r="JZ4" s="21"/>
      <c r="KA4" s="21"/>
      <c r="KB4" s="21"/>
      <c r="KC4" s="21"/>
      <c r="KD4" s="21"/>
      <c r="KE4" s="21"/>
      <c r="KF4" s="21"/>
      <c r="KG4" s="21"/>
    </row>
    <row r="5" customFormat="false" ht="22.5" hidden="false" customHeight="true" outlineLevel="0" collapsed="false">
      <c r="A5" s="9"/>
      <c r="B5" s="9"/>
      <c r="C5" s="10" t="s">
        <v>6</v>
      </c>
      <c r="D5" s="22" t="n">
        <f aca="false">MIN($J$12:$K$77)</f>
        <v>46097</v>
      </c>
      <c r="E5" s="9"/>
      <c r="F5" s="8"/>
      <c r="G5" s="9"/>
      <c r="H5" s="8"/>
      <c r="I5" s="8"/>
      <c r="J5" s="9"/>
      <c r="K5" s="9"/>
      <c r="L5" s="12"/>
      <c r="M5" s="23" t="n">
        <v>3</v>
      </c>
      <c r="N5" s="19"/>
      <c r="O5" s="20"/>
      <c r="P5" s="20"/>
      <c r="Q5" s="20"/>
      <c r="R5" s="20"/>
      <c r="S5" s="20"/>
      <c r="T5" s="20"/>
      <c r="U5" s="21"/>
      <c r="V5" s="21"/>
      <c r="W5" s="20"/>
      <c r="X5" s="20"/>
      <c r="Y5" s="20"/>
      <c r="Z5" s="20"/>
      <c r="AA5" s="20"/>
      <c r="AB5" s="20"/>
      <c r="AC5" s="20"/>
      <c r="AD5" s="20"/>
      <c r="AE5" s="20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</row>
    <row r="6" customFormat="false" ht="22.5" hidden="false" customHeight="true" outlineLevel="0" collapsed="false">
      <c r="A6" s="9"/>
      <c r="B6" s="9"/>
      <c r="C6" s="10" t="s">
        <v>7</v>
      </c>
      <c r="D6" s="22" t="n">
        <f aca="false">MAX($J$12:$K$181)</f>
        <v>46340</v>
      </c>
      <c r="E6" s="9"/>
      <c r="F6" s="9"/>
      <c r="G6" s="9"/>
      <c r="H6" s="8"/>
      <c r="I6" s="8"/>
      <c r="J6" s="9"/>
      <c r="K6" s="9"/>
      <c r="L6" s="12"/>
      <c r="M6" s="24" t="n">
        <v>4</v>
      </c>
      <c r="N6" s="19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0"/>
      <c r="AF6" s="20"/>
      <c r="AG6" s="20"/>
      <c r="AH6" s="20"/>
      <c r="AI6" s="20"/>
      <c r="AJ6" s="20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21"/>
      <c r="FS6" s="21"/>
      <c r="FT6" s="21"/>
      <c r="FU6" s="21"/>
      <c r="FV6" s="21"/>
      <c r="FW6" s="21"/>
      <c r="FX6" s="21"/>
      <c r="FY6" s="21"/>
      <c r="FZ6" s="21"/>
      <c r="GA6" s="21"/>
      <c r="GB6" s="21"/>
      <c r="GC6" s="21"/>
      <c r="GD6" s="21"/>
      <c r="GE6" s="21"/>
      <c r="GF6" s="21"/>
      <c r="GG6" s="21"/>
      <c r="GH6" s="21"/>
      <c r="GI6" s="21"/>
      <c r="GJ6" s="21"/>
      <c r="GK6" s="21"/>
      <c r="GL6" s="21"/>
      <c r="GM6" s="21"/>
      <c r="GN6" s="21"/>
      <c r="GO6" s="21"/>
      <c r="GP6" s="21"/>
      <c r="GQ6" s="21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</row>
    <row r="7" customFormat="false" ht="22.5" hidden="false" customHeight="true" outlineLevel="0" collapsed="false">
      <c r="A7" s="9"/>
      <c r="B7" s="9"/>
      <c r="C7" s="10" t="s">
        <v>8</v>
      </c>
      <c r="D7" s="25" t="n">
        <f aca="false">SUM($L$12:$L$178)</f>
        <v>327</v>
      </c>
      <c r="E7" s="9"/>
      <c r="F7" s="9"/>
      <c r="G7" s="9"/>
      <c r="H7" s="8"/>
      <c r="I7" s="8"/>
      <c r="J7" s="9"/>
      <c r="K7" s="9"/>
      <c r="L7" s="12"/>
      <c r="M7" s="26" t="n">
        <v>5</v>
      </c>
      <c r="N7" s="19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0"/>
      <c r="AI7" s="20"/>
      <c r="AJ7" s="20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</row>
    <row r="8" customFormat="false" ht="22.5" hidden="false" customHeight="true" outlineLevel="0" collapsed="false">
      <c r="B8" s="28"/>
      <c r="G8" s="28"/>
      <c r="H8" s="29"/>
      <c r="I8" s="29"/>
      <c r="J8" s="28"/>
      <c r="K8" s="28"/>
      <c r="L8" s="28"/>
      <c r="M8" s="28"/>
      <c r="N8" s="30" t="s">
        <v>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1" t="s">
        <v>10</v>
      </c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0" t="s">
        <v>11</v>
      </c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1" t="s">
        <v>12</v>
      </c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2" t="s">
        <v>13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1" t="s">
        <v>14</v>
      </c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3" t="s">
        <v>15</v>
      </c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4" t="s">
        <v>16</v>
      </c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5" t="s">
        <v>17</v>
      </c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6" t="s">
        <v>18</v>
      </c>
      <c r="KC8" s="36"/>
      <c r="KD8" s="36"/>
      <c r="KE8" s="36"/>
      <c r="KF8" s="36"/>
      <c r="KG8" s="36"/>
    </row>
    <row r="9" customFormat="false" ht="22.5" hidden="false" customHeight="true" outlineLevel="0" collapsed="false">
      <c r="B9" s="37"/>
      <c r="C9" s="38" t="s">
        <v>19</v>
      </c>
      <c r="D9" s="39" t="s">
        <v>20</v>
      </c>
      <c r="E9" s="40" t="s">
        <v>21</v>
      </c>
      <c r="F9" s="40"/>
      <c r="G9" s="40"/>
      <c r="H9" s="41" t="s">
        <v>22</v>
      </c>
      <c r="I9" s="42" t="s">
        <v>23</v>
      </c>
      <c r="J9" s="43" t="s">
        <v>24</v>
      </c>
      <c r="K9" s="44" t="s">
        <v>25</v>
      </c>
      <c r="L9" s="44" t="s">
        <v>26</v>
      </c>
      <c r="M9" s="44" t="s">
        <v>27</v>
      </c>
      <c r="N9" s="45" t="s">
        <v>28</v>
      </c>
      <c r="O9" s="45"/>
      <c r="P9" s="45"/>
      <c r="Q9" s="45"/>
      <c r="R9" s="45"/>
      <c r="S9" s="45"/>
      <c r="T9" s="45"/>
      <c r="U9" s="46" t="s">
        <v>29</v>
      </c>
      <c r="V9" s="46"/>
      <c r="W9" s="46"/>
      <c r="X9" s="46"/>
      <c r="Y9" s="46"/>
      <c r="Z9" s="46"/>
      <c r="AA9" s="46"/>
      <c r="AB9" s="47" t="s">
        <v>30</v>
      </c>
      <c r="AC9" s="47"/>
      <c r="AD9" s="47"/>
      <c r="AE9" s="47"/>
      <c r="AF9" s="47"/>
      <c r="AG9" s="47"/>
      <c r="AH9" s="47"/>
      <c r="AI9" s="47" t="s">
        <v>31</v>
      </c>
      <c r="AJ9" s="47"/>
      <c r="AK9" s="47"/>
      <c r="AL9" s="47"/>
      <c r="AM9" s="47"/>
      <c r="AN9" s="47"/>
      <c r="AO9" s="47"/>
      <c r="AP9" s="45" t="s">
        <v>32</v>
      </c>
      <c r="AQ9" s="45"/>
      <c r="AR9" s="45"/>
      <c r="AS9" s="45"/>
      <c r="AT9" s="45"/>
      <c r="AU9" s="45"/>
      <c r="AV9" s="45"/>
      <c r="AW9" s="45" t="s">
        <v>33</v>
      </c>
      <c r="AX9" s="45"/>
      <c r="AY9" s="45"/>
      <c r="AZ9" s="45"/>
      <c r="BA9" s="45"/>
      <c r="BB9" s="45"/>
      <c r="BC9" s="45"/>
      <c r="BD9" s="45" t="s">
        <v>34</v>
      </c>
      <c r="BE9" s="45"/>
      <c r="BF9" s="45"/>
      <c r="BG9" s="45"/>
      <c r="BH9" s="45"/>
      <c r="BI9" s="45"/>
      <c r="BJ9" s="45"/>
      <c r="BK9" s="45" t="s">
        <v>35</v>
      </c>
      <c r="BL9" s="45"/>
      <c r="BM9" s="45"/>
      <c r="BN9" s="45"/>
      <c r="BO9" s="45"/>
      <c r="BP9" s="45"/>
      <c r="BQ9" s="45"/>
      <c r="BR9" s="45" t="s">
        <v>36</v>
      </c>
      <c r="BS9" s="45"/>
      <c r="BT9" s="45"/>
      <c r="BU9" s="45"/>
      <c r="BV9" s="45"/>
      <c r="BW9" s="45"/>
      <c r="BX9" s="45"/>
      <c r="BY9" s="45" t="s">
        <v>37</v>
      </c>
      <c r="BZ9" s="45"/>
      <c r="CA9" s="45"/>
      <c r="CB9" s="45"/>
      <c r="CC9" s="45"/>
      <c r="CD9" s="45"/>
      <c r="CE9" s="45"/>
      <c r="CF9" s="45" t="s">
        <v>37</v>
      </c>
      <c r="CG9" s="45"/>
      <c r="CH9" s="45"/>
      <c r="CI9" s="45"/>
      <c r="CJ9" s="45"/>
      <c r="CK9" s="45"/>
      <c r="CL9" s="45"/>
      <c r="CM9" s="45" t="s">
        <v>38</v>
      </c>
      <c r="CN9" s="45"/>
      <c r="CO9" s="45"/>
      <c r="CP9" s="45"/>
      <c r="CQ9" s="45"/>
      <c r="CR9" s="45"/>
      <c r="CS9" s="45"/>
      <c r="CT9" s="45" t="s">
        <v>39</v>
      </c>
      <c r="CU9" s="45"/>
      <c r="CV9" s="45"/>
      <c r="CW9" s="45"/>
      <c r="CX9" s="45"/>
      <c r="CY9" s="45"/>
      <c r="CZ9" s="45"/>
      <c r="DA9" s="45" t="s">
        <v>40</v>
      </c>
      <c r="DB9" s="45"/>
      <c r="DC9" s="45"/>
      <c r="DD9" s="45"/>
      <c r="DE9" s="45"/>
      <c r="DF9" s="45"/>
      <c r="DG9" s="45"/>
      <c r="DH9" s="45" t="s">
        <v>41</v>
      </c>
      <c r="DI9" s="45"/>
      <c r="DJ9" s="45"/>
      <c r="DK9" s="45"/>
      <c r="DL9" s="45"/>
      <c r="DM9" s="45"/>
      <c r="DN9" s="45"/>
      <c r="DO9" s="45" t="s">
        <v>42</v>
      </c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 t="s">
        <v>43</v>
      </c>
      <c r="ED9" s="45"/>
      <c r="EE9" s="45"/>
      <c r="EF9" s="45"/>
      <c r="EG9" s="45"/>
      <c r="EH9" s="45"/>
      <c r="EI9" s="45"/>
      <c r="EJ9" s="45" t="s">
        <v>44</v>
      </c>
      <c r="EK9" s="45"/>
      <c r="EL9" s="45"/>
      <c r="EM9" s="45"/>
      <c r="EN9" s="45"/>
      <c r="EO9" s="45"/>
      <c r="EP9" s="45"/>
      <c r="EQ9" s="48" t="s">
        <v>45</v>
      </c>
      <c r="ER9" s="48"/>
      <c r="ES9" s="48"/>
      <c r="ET9" s="48"/>
      <c r="EU9" s="48"/>
      <c r="EV9" s="48"/>
      <c r="EW9" s="48"/>
      <c r="EX9" s="48" t="s">
        <v>45</v>
      </c>
      <c r="EY9" s="48"/>
      <c r="EZ9" s="48"/>
      <c r="FA9" s="48"/>
      <c r="FB9" s="48"/>
      <c r="FC9" s="48"/>
      <c r="FD9" s="48"/>
      <c r="FE9" s="48" t="s">
        <v>46</v>
      </c>
      <c r="FF9" s="48"/>
      <c r="FG9" s="48"/>
      <c r="FH9" s="48"/>
      <c r="FI9" s="48"/>
      <c r="FJ9" s="48"/>
      <c r="FK9" s="48"/>
      <c r="FL9" s="49" t="s">
        <v>47</v>
      </c>
      <c r="FM9" s="49"/>
      <c r="FN9" s="49"/>
      <c r="FO9" s="49"/>
      <c r="FP9" s="49"/>
      <c r="FQ9" s="49"/>
      <c r="FR9" s="49"/>
      <c r="FS9" s="50" t="s">
        <v>48</v>
      </c>
      <c r="FT9" s="50"/>
      <c r="FU9" s="50"/>
      <c r="FV9" s="50"/>
      <c r="FW9" s="50"/>
      <c r="FX9" s="50"/>
      <c r="FY9" s="50"/>
      <c r="FZ9" s="45" t="s">
        <v>49</v>
      </c>
      <c r="GA9" s="45"/>
      <c r="GB9" s="45"/>
      <c r="GC9" s="45"/>
      <c r="GD9" s="45"/>
      <c r="GE9" s="45"/>
      <c r="GF9" s="45"/>
      <c r="GG9" s="45" t="s">
        <v>50</v>
      </c>
      <c r="GH9" s="45"/>
      <c r="GI9" s="45"/>
      <c r="GJ9" s="45"/>
      <c r="GK9" s="45"/>
      <c r="GL9" s="45"/>
      <c r="GM9" s="45"/>
      <c r="GN9" s="45" t="s">
        <v>51</v>
      </c>
      <c r="GO9" s="45"/>
      <c r="GP9" s="45"/>
      <c r="GQ9" s="45"/>
      <c r="GR9" s="45"/>
      <c r="GS9" s="45"/>
      <c r="GT9" s="45"/>
      <c r="GU9" s="45" t="s">
        <v>51</v>
      </c>
      <c r="GV9" s="45"/>
      <c r="GW9" s="45"/>
      <c r="GX9" s="45"/>
      <c r="GY9" s="45"/>
      <c r="GZ9" s="45"/>
      <c r="HA9" s="45"/>
      <c r="HB9" s="45" t="s">
        <v>52</v>
      </c>
      <c r="HC9" s="45"/>
      <c r="HD9" s="45"/>
      <c r="HE9" s="45"/>
      <c r="HF9" s="45"/>
      <c r="HG9" s="45"/>
      <c r="HH9" s="45"/>
      <c r="HI9" s="45" t="s">
        <v>53</v>
      </c>
      <c r="HJ9" s="45"/>
      <c r="HK9" s="45"/>
      <c r="HL9" s="45"/>
      <c r="HM9" s="45"/>
      <c r="HN9" s="45"/>
      <c r="HO9" s="45"/>
      <c r="HP9" s="45" t="s">
        <v>54</v>
      </c>
      <c r="HQ9" s="45"/>
      <c r="HR9" s="45"/>
      <c r="HS9" s="45"/>
      <c r="HT9" s="45"/>
      <c r="HU9" s="45"/>
      <c r="HV9" s="45"/>
      <c r="HW9" s="45" t="s">
        <v>55</v>
      </c>
      <c r="HX9" s="45"/>
      <c r="HY9" s="45"/>
      <c r="HZ9" s="45"/>
      <c r="IA9" s="45"/>
      <c r="IB9" s="45"/>
      <c r="IC9" s="45"/>
      <c r="ID9" s="45" t="s">
        <v>56</v>
      </c>
      <c r="IE9" s="45"/>
      <c r="IF9" s="45"/>
      <c r="IG9" s="45"/>
      <c r="IH9" s="45"/>
      <c r="II9" s="45"/>
      <c r="IJ9" s="45"/>
      <c r="IK9" s="45" t="s">
        <v>56</v>
      </c>
      <c r="IL9" s="45"/>
      <c r="IM9" s="45"/>
      <c r="IN9" s="45"/>
      <c r="IO9" s="45"/>
      <c r="IP9" s="45"/>
      <c r="IQ9" s="45"/>
      <c r="IR9" s="45" t="s">
        <v>57</v>
      </c>
      <c r="IS9" s="45"/>
      <c r="IT9" s="45"/>
      <c r="IU9" s="45"/>
      <c r="IV9" s="45"/>
      <c r="IW9" s="45"/>
      <c r="IX9" s="45"/>
      <c r="IY9" s="45" t="s">
        <v>58</v>
      </c>
      <c r="IZ9" s="45"/>
      <c r="JA9" s="45"/>
      <c r="JB9" s="45"/>
      <c r="JC9" s="45"/>
      <c r="JD9" s="45"/>
      <c r="JE9" s="45"/>
      <c r="JF9" s="45" t="s">
        <v>59</v>
      </c>
      <c r="JG9" s="45"/>
      <c r="JH9" s="45"/>
      <c r="JI9" s="45"/>
      <c r="JJ9" s="45"/>
      <c r="JK9" s="45"/>
      <c r="JL9" s="45"/>
      <c r="JM9" s="45" t="s">
        <v>60</v>
      </c>
      <c r="JN9" s="45"/>
      <c r="JO9" s="45"/>
      <c r="JP9" s="45"/>
      <c r="JQ9" s="45"/>
      <c r="JR9" s="45"/>
      <c r="JS9" s="45"/>
      <c r="JT9" s="45" t="s">
        <v>61</v>
      </c>
      <c r="JU9" s="45"/>
      <c r="JV9" s="45"/>
      <c r="JW9" s="45"/>
      <c r="JX9" s="45"/>
      <c r="JY9" s="45"/>
      <c r="JZ9" s="45"/>
      <c r="KA9" s="45" t="s">
        <v>62</v>
      </c>
      <c r="KB9" s="45"/>
      <c r="KC9" s="45"/>
      <c r="KD9" s="45"/>
      <c r="KE9" s="45"/>
      <c r="KF9" s="45"/>
      <c r="KG9" s="45"/>
    </row>
    <row r="10" customFormat="false" ht="22.5" hidden="false" customHeight="true" outlineLevel="0" collapsed="false">
      <c r="B10" s="37"/>
      <c r="C10" s="38"/>
      <c r="D10" s="39"/>
      <c r="E10" s="51" t="s">
        <v>63</v>
      </c>
      <c r="F10" s="52" t="s">
        <v>64</v>
      </c>
      <c r="G10" s="53" t="s">
        <v>65</v>
      </c>
      <c r="H10" s="41"/>
      <c r="I10" s="42"/>
      <c r="J10" s="43"/>
      <c r="K10" s="44"/>
      <c r="L10" s="44"/>
      <c r="M10" s="44"/>
      <c r="N10" s="54" t="n">
        <v>46090</v>
      </c>
      <c r="O10" s="54" t="n">
        <v>46091</v>
      </c>
      <c r="P10" s="54" t="n">
        <v>46092</v>
      </c>
      <c r="Q10" s="54" t="n">
        <v>46093</v>
      </c>
      <c r="R10" s="54" t="n">
        <v>46094</v>
      </c>
      <c r="S10" s="54" t="n">
        <v>46095</v>
      </c>
      <c r="T10" s="54" t="n">
        <v>46096</v>
      </c>
      <c r="U10" s="54" t="n">
        <v>46097</v>
      </c>
      <c r="V10" s="54" t="n">
        <v>46098</v>
      </c>
      <c r="W10" s="54" t="n">
        <v>46099</v>
      </c>
      <c r="X10" s="54" t="n">
        <v>46100</v>
      </c>
      <c r="Y10" s="54" t="n">
        <v>46101</v>
      </c>
      <c r="Z10" s="54" t="n">
        <v>46102</v>
      </c>
      <c r="AA10" s="54" t="n">
        <v>46103</v>
      </c>
      <c r="AB10" s="54" t="n">
        <v>46104</v>
      </c>
      <c r="AC10" s="54" t="n">
        <v>46105</v>
      </c>
      <c r="AD10" s="54" t="n">
        <v>46106</v>
      </c>
      <c r="AE10" s="54" t="n">
        <v>46107</v>
      </c>
      <c r="AF10" s="54" t="n">
        <v>46108</v>
      </c>
      <c r="AG10" s="54" t="n">
        <v>46109</v>
      </c>
      <c r="AH10" s="54" t="n">
        <v>46110</v>
      </c>
      <c r="AI10" s="54" t="n">
        <v>46111</v>
      </c>
      <c r="AJ10" s="54" t="n">
        <v>46112</v>
      </c>
      <c r="AK10" s="55" t="n">
        <v>46113</v>
      </c>
      <c r="AL10" s="55" t="n">
        <v>46114</v>
      </c>
      <c r="AM10" s="55" t="n">
        <v>46115</v>
      </c>
      <c r="AN10" s="55" t="n">
        <v>46116</v>
      </c>
      <c r="AO10" s="55" t="n">
        <v>46117</v>
      </c>
      <c r="AP10" s="55" t="n">
        <v>46118</v>
      </c>
      <c r="AQ10" s="55" t="n">
        <v>46119</v>
      </c>
      <c r="AR10" s="55" t="n">
        <v>46120</v>
      </c>
      <c r="AS10" s="55" t="n">
        <v>46121</v>
      </c>
      <c r="AT10" s="55" t="n">
        <v>46122</v>
      </c>
      <c r="AU10" s="55" t="n">
        <v>46123</v>
      </c>
      <c r="AV10" s="55" t="n">
        <v>46124</v>
      </c>
      <c r="AW10" s="55" t="n">
        <v>46125</v>
      </c>
      <c r="AX10" s="55" t="n">
        <v>46126</v>
      </c>
      <c r="AY10" s="55" t="n">
        <v>46127</v>
      </c>
      <c r="AZ10" s="55" t="n">
        <v>46128</v>
      </c>
      <c r="BA10" s="55" t="n">
        <v>46129</v>
      </c>
      <c r="BB10" s="55" t="n">
        <v>46130</v>
      </c>
      <c r="BC10" s="55" t="n">
        <v>46131</v>
      </c>
      <c r="BD10" s="55" t="n">
        <v>46132</v>
      </c>
      <c r="BE10" s="55" t="n">
        <v>46133</v>
      </c>
      <c r="BF10" s="55" t="n">
        <v>46134</v>
      </c>
      <c r="BG10" s="55" t="n">
        <v>46135</v>
      </c>
      <c r="BH10" s="55" t="n">
        <v>46136</v>
      </c>
      <c r="BI10" s="55" t="n">
        <v>46137</v>
      </c>
      <c r="BJ10" s="55" t="n">
        <v>46138</v>
      </c>
      <c r="BK10" s="55" t="n">
        <v>46139</v>
      </c>
      <c r="BL10" s="55" t="n">
        <v>46140</v>
      </c>
      <c r="BM10" s="55" t="n">
        <v>46141</v>
      </c>
      <c r="BN10" s="55" t="n">
        <v>46142</v>
      </c>
      <c r="BO10" s="54" t="n">
        <v>46143</v>
      </c>
      <c r="BP10" s="54" t="n">
        <v>46144</v>
      </c>
      <c r="BQ10" s="54" t="n">
        <v>46145</v>
      </c>
      <c r="BR10" s="54" t="n">
        <v>46146</v>
      </c>
      <c r="BS10" s="54" t="n">
        <v>46147</v>
      </c>
      <c r="BT10" s="54" t="n">
        <v>46148</v>
      </c>
      <c r="BU10" s="54" t="n">
        <v>46149</v>
      </c>
      <c r="BV10" s="54" t="n">
        <v>46150</v>
      </c>
      <c r="BW10" s="54" t="n">
        <v>46151</v>
      </c>
      <c r="BX10" s="54" t="n">
        <v>46152</v>
      </c>
      <c r="BY10" s="54" t="n">
        <v>46153</v>
      </c>
      <c r="BZ10" s="54" t="n">
        <v>46154</v>
      </c>
      <c r="CA10" s="54" t="n">
        <v>46155</v>
      </c>
      <c r="CB10" s="54" t="n">
        <v>46156</v>
      </c>
      <c r="CC10" s="54" t="n">
        <v>46157</v>
      </c>
      <c r="CD10" s="54" t="n">
        <v>46158</v>
      </c>
      <c r="CE10" s="54" t="n">
        <v>46159</v>
      </c>
      <c r="CF10" s="54" t="n">
        <v>46160</v>
      </c>
      <c r="CG10" s="54" t="n">
        <v>46161</v>
      </c>
      <c r="CH10" s="54" t="n">
        <v>46162</v>
      </c>
      <c r="CI10" s="54" t="n">
        <v>46163</v>
      </c>
      <c r="CJ10" s="54" t="n">
        <v>46164</v>
      </c>
      <c r="CK10" s="54" t="n">
        <v>46165</v>
      </c>
      <c r="CL10" s="54" t="n">
        <v>46166</v>
      </c>
      <c r="CM10" s="54" t="n">
        <v>46167</v>
      </c>
      <c r="CN10" s="54" t="n">
        <v>46168</v>
      </c>
      <c r="CO10" s="54" t="n">
        <v>46169</v>
      </c>
      <c r="CP10" s="54" t="n">
        <v>46170</v>
      </c>
      <c r="CQ10" s="54" t="n">
        <v>46171</v>
      </c>
      <c r="CR10" s="54" t="n">
        <v>46172</v>
      </c>
      <c r="CS10" s="54" t="n">
        <v>46173</v>
      </c>
      <c r="CT10" s="55" t="n">
        <v>46174</v>
      </c>
      <c r="CU10" s="55" t="n">
        <v>46175</v>
      </c>
      <c r="CV10" s="55" t="n">
        <v>46176</v>
      </c>
      <c r="CW10" s="55" t="n">
        <v>46177</v>
      </c>
      <c r="CX10" s="55" t="n">
        <v>46178</v>
      </c>
      <c r="CY10" s="55" t="n">
        <v>46179</v>
      </c>
      <c r="CZ10" s="55" t="n">
        <v>46180</v>
      </c>
      <c r="DA10" s="55" t="n">
        <v>46181</v>
      </c>
      <c r="DB10" s="55" t="n">
        <v>46182</v>
      </c>
      <c r="DC10" s="55" t="n">
        <v>46183</v>
      </c>
      <c r="DD10" s="55" t="n">
        <v>46184</v>
      </c>
      <c r="DE10" s="55" t="n">
        <v>46185</v>
      </c>
      <c r="DF10" s="55" t="n">
        <v>46186</v>
      </c>
      <c r="DG10" s="55" t="n">
        <v>46187</v>
      </c>
      <c r="DH10" s="55" t="n">
        <v>46188</v>
      </c>
      <c r="DI10" s="55" t="n">
        <v>46189</v>
      </c>
      <c r="DJ10" s="55" t="n">
        <v>46190</v>
      </c>
      <c r="DK10" s="55" t="n">
        <v>46191</v>
      </c>
      <c r="DL10" s="55" t="n">
        <v>46192</v>
      </c>
      <c r="DM10" s="55" t="n">
        <v>46193</v>
      </c>
      <c r="DN10" s="55" t="n">
        <v>46194</v>
      </c>
      <c r="DO10" s="55" t="n">
        <v>46195</v>
      </c>
      <c r="DP10" s="55" t="n">
        <v>46196</v>
      </c>
      <c r="DQ10" s="55" t="n">
        <v>46197</v>
      </c>
      <c r="DR10" s="55" t="n">
        <v>46198</v>
      </c>
      <c r="DS10" s="55" t="n">
        <v>46199</v>
      </c>
      <c r="DT10" s="55" t="n">
        <v>46200</v>
      </c>
      <c r="DU10" s="55" t="n">
        <v>46201</v>
      </c>
      <c r="DV10" s="55" t="n">
        <v>46202</v>
      </c>
      <c r="DW10" s="55" t="n">
        <v>46203</v>
      </c>
      <c r="DX10" s="55" t="n">
        <v>46204</v>
      </c>
      <c r="DY10" s="55" t="n">
        <v>46205</v>
      </c>
      <c r="DZ10" s="55" t="n">
        <v>46206</v>
      </c>
      <c r="EA10" s="55" t="n">
        <v>46207</v>
      </c>
      <c r="EB10" s="55" t="n">
        <v>46208</v>
      </c>
      <c r="EC10" s="55" t="n">
        <v>46209</v>
      </c>
      <c r="ED10" s="55" t="n">
        <v>46210</v>
      </c>
      <c r="EE10" s="54" t="n">
        <v>46211</v>
      </c>
      <c r="EF10" s="54" t="n">
        <v>46212</v>
      </c>
      <c r="EG10" s="54" t="n">
        <v>46213</v>
      </c>
      <c r="EH10" s="54" t="n">
        <v>46214</v>
      </c>
      <c r="EI10" s="54" t="n">
        <v>46215</v>
      </c>
      <c r="EJ10" s="54" t="n">
        <v>46216</v>
      </c>
      <c r="EK10" s="54" t="n">
        <v>46217</v>
      </c>
      <c r="EL10" s="54" t="n">
        <v>46218</v>
      </c>
      <c r="EM10" s="54" t="n">
        <v>46219</v>
      </c>
      <c r="EN10" s="54" t="n">
        <v>46220</v>
      </c>
      <c r="EO10" s="54" t="n">
        <v>46221</v>
      </c>
      <c r="EP10" s="54" t="n">
        <v>46222</v>
      </c>
      <c r="EQ10" s="54" t="n">
        <v>46223</v>
      </c>
      <c r="ER10" s="54" t="n">
        <v>46224</v>
      </c>
      <c r="ES10" s="54" t="n">
        <v>46225</v>
      </c>
      <c r="ET10" s="54" t="n">
        <v>46226</v>
      </c>
      <c r="EU10" s="54" t="n">
        <v>46227</v>
      </c>
      <c r="EV10" s="54" t="n">
        <v>46228</v>
      </c>
      <c r="EW10" s="54" t="n">
        <v>46229</v>
      </c>
      <c r="EX10" s="54" t="n">
        <v>46230</v>
      </c>
      <c r="EY10" s="54" t="n">
        <v>46231</v>
      </c>
      <c r="EZ10" s="54" t="n">
        <v>46232</v>
      </c>
      <c r="FA10" s="54" t="n">
        <v>46233</v>
      </c>
      <c r="FB10" s="54" t="n">
        <v>46234</v>
      </c>
      <c r="FC10" s="54" t="n">
        <v>46235</v>
      </c>
      <c r="FD10" s="54" t="n">
        <v>46236</v>
      </c>
      <c r="FE10" s="54" t="n">
        <v>46237</v>
      </c>
      <c r="FF10" s="54" t="n">
        <v>46238</v>
      </c>
      <c r="FG10" s="54" t="n">
        <v>46239</v>
      </c>
      <c r="FH10" s="54" t="n">
        <v>46240</v>
      </c>
      <c r="FI10" s="54" t="n">
        <v>46241</v>
      </c>
      <c r="FJ10" s="55" t="n">
        <v>46242</v>
      </c>
      <c r="FK10" s="55" t="n">
        <v>46243</v>
      </c>
      <c r="FL10" s="55" t="n">
        <v>46244</v>
      </c>
      <c r="FM10" s="55" t="n">
        <v>46245</v>
      </c>
      <c r="FN10" s="55" t="n">
        <v>46246</v>
      </c>
      <c r="FO10" s="55" t="n">
        <v>46247</v>
      </c>
      <c r="FP10" s="55" t="n">
        <v>46248</v>
      </c>
      <c r="FQ10" s="55" t="n">
        <v>46249</v>
      </c>
      <c r="FR10" s="55" t="n">
        <v>46250</v>
      </c>
      <c r="FS10" s="55" t="n">
        <v>46251</v>
      </c>
      <c r="FT10" s="55" t="n">
        <v>46252</v>
      </c>
      <c r="FU10" s="55" t="n">
        <v>46253</v>
      </c>
      <c r="FV10" s="55" t="n">
        <v>46254</v>
      </c>
      <c r="FW10" s="55" t="n">
        <v>46255</v>
      </c>
      <c r="FX10" s="55" t="n">
        <v>46256</v>
      </c>
      <c r="FY10" s="55" t="n">
        <v>46257</v>
      </c>
      <c r="FZ10" s="55" t="n">
        <v>46258</v>
      </c>
      <c r="GA10" s="55" t="n">
        <v>46259</v>
      </c>
      <c r="GB10" s="55" t="n">
        <v>46260</v>
      </c>
      <c r="GC10" s="55" t="n">
        <v>46261</v>
      </c>
      <c r="GD10" s="55" t="n">
        <v>46262</v>
      </c>
      <c r="GE10" s="55" t="n">
        <v>46263</v>
      </c>
      <c r="GF10" s="55" t="n">
        <v>46264</v>
      </c>
      <c r="GG10" s="55" t="n">
        <v>46265</v>
      </c>
      <c r="GH10" s="55" t="n">
        <v>46266</v>
      </c>
      <c r="GI10" s="55" t="n">
        <v>46267</v>
      </c>
      <c r="GJ10" s="55" t="n">
        <v>46268</v>
      </c>
      <c r="GK10" s="55" t="n">
        <v>46269</v>
      </c>
      <c r="GL10" s="55" t="n">
        <v>46270</v>
      </c>
      <c r="GM10" s="55" t="n">
        <v>46271</v>
      </c>
      <c r="GN10" s="55" t="n">
        <v>46272</v>
      </c>
      <c r="GO10" s="54" t="n">
        <v>46273</v>
      </c>
      <c r="GP10" s="54" t="n">
        <v>46274</v>
      </c>
      <c r="GQ10" s="54" t="n">
        <v>46275</v>
      </c>
      <c r="GR10" s="54" t="n">
        <v>46276</v>
      </c>
      <c r="GS10" s="54" t="n">
        <v>46277</v>
      </c>
      <c r="GT10" s="54" t="n">
        <v>46278</v>
      </c>
      <c r="GU10" s="54" t="n">
        <v>46279</v>
      </c>
      <c r="GV10" s="54" t="n">
        <v>46280</v>
      </c>
      <c r="GW10" s="54" t="n">
        <v>46281</v>
      </c>
      <c r="GX10" s="54" t="n">
        <v>46282</v>
      </c>
      <c r="GY10" s="54" t="n">
        <v>46283</v>
      </c>
      <c r="GZ10" s="54" t="n">
        <v>46284</v>
      </c>
      <c r="HA10" s="54" t="n">
        <v>46285</v>
      </c>
      <c r="HB10" s="54" t="n">
        <v>46286</v>
      </c>
      <c r="HC10" s="54" t="n">
        <v>46287</v>
      </c>
      <c r="HD10" s="54" t="n">
        <v>46288</v>
      </c>
      <c r="HE10" s="54" t="n">
        <v>46289</v>
      </c>
      <c r="HF10" s="54" t="n">
        <v>46290</v>
      </c>
      <c r="HG10" s="54" t="n">
        <v>46291</v>
      </c>
      <c r="HH10" s="54" t="n">
        <v>46292</v>
      </c>
      <c r="HI10" s="54" t="n">
        <v>46293</v>
      </c>
      <c r="HJ10" s="54" t="n">
        <v>46294</v>
      </c>
      <c r="HK10" s="54" t="n">
        <v>46295</v>
      </c>
      <c r="HL10" s="54" t="n">
        <v>46296</v>
      </c>
      <c r="HM10" s="54" t="n">
        <v>46297</v>
      </c>
      <c r="HN10" s="54" t="n">
        <v>46298</v>
      </c>
      <c r="HO10" s="54" t="n">
        <v>46299</v>
      </c>
      <c r="HP10" s="54" t="n">
        <v>46300</v>
      </c>
      <c r="HQ10" s="54" t="n">
        <v>46301</v>
      </c>
      <c r="HR10" s="54" t="n">
        <v>46302</v>
      </c>
      <c r="HS10" s="55" t="n">
        <v>46303</v>
      </c>
      <c r="HT10" s="55" t="n">
        <v>46304</v>
      </c>
      <c r="HU10" s="55" t="n">
        <v>46305</v>
      </c>
      <c r="HV10" s="55" t="n">
        <v>46306</v>
      </c>
      <c r="HW10" s="55" t="n">
        <v>46307</v>
      </c>
      <c r="HX10" s="55" t="n">
        <v>46308</v>
      </c>
      <c r="HY10" s="55" t="n">
        <v>46309</v>
      </c>
      <c r="HZ10" s="55" t="n">
        <v>46310</v>
      </c>
      <c r="IA10" s="55" t="n">
        <v>46311</v>
      </c>
      <c r="IB10" s="55" t="n">
        <v>46312</v>
      </c>
      <c r="IC10" s="55" t="n">
        <v>46313</v>
      </c>
      <c r="ID10" s="55" t="n">
        <v>46314</v>
      </c>
      <c r="IE10" s="55" t="n">
        <v>46315</v>
      </c>
      <c r="IF10" s="55" t="n">
        <v>46316</v>
      </c>
      <c r="IG10" s="55" t="n">
        <v>46317</v>
      </c>
      <c r="IH10" s="55" t="n">
        <v>46318</v>
      </c>
      <c r="II10" s="55" t="n">
        <v>46319</v>
      </c>
      <c r="IJ10" s="55" t="n">
        <v>46320</v>
      </c>
      <c r="IK10" s="55" t="n">
        <v>46321</v>
      </c>
      <c r="IL10" s="55" t="n">
        <v>46322</v>
      </c>
      <c r="IM10" s="55" t="n">
        <v>46323</v>
      </c>
      <c r="IN10" s="55" t="n">
        <v>46324</v>
      </c>
      <c r="IO10" s="55" t="n">
        <v>46325</v>
      </c>
      <c r="IP10" s="55" t="n">
        <v>46326</v>
      </c>
      <c r="IQ10" s="55" t="n">
        <v>46327</v>
      </c>
      <c r="IR10" s="55" t="n">
        <v>46328</v>
      </c>
      <c r="IS10" s="55" t="n">
        <v>46329</v>
      </c>
      <c r="IT10" s="55" t="n">
        <v>46330</v>
      </c>
      <c r="IU10" s="55" t="n">
        <v>46331</v>
      </c>
      <c r="IV10" s="55" t="n">
        <v>46332</v>
      </c>
      <c r="IW10" s="55" t="n">
        <v>46333</v>
      </c>
      <c r="IX10" s="54" t="n">
        <v>46334</v>
      </c>
      <c r="IY10" s="54" t="n">
        <v>46335</v>
      </c>
      <c r="IZ10" s="54" t="n">
        <v>46336</v>
      </c>
      <c r="JA10" s="54" t="n">
        <v>46337</v>
      </c>
      <c r="JB10" s="54" t="n">
        <v>46338</v>
      </c>
      <c r="JC10" s="54" t="n">
        <v>46339</v>
      </c>
      <c r="JD10" s="54" t="n">
        <v>46340</v>
      </c>
      <c r="JE10" s="54" t="n">
        <v>46341</v>
      </c>
      <c r="JF10" s="54" t="n">
        <v>46342</v>
      </c>
      <c r="JG10" s="54" t="n">
        <v>46343</v>
      </c>
      <c r="JH10" s="54" t="n">
        <v>46344</v>
      </c>
      <c r="JI10" s="54" t="n">
        <v>46345</v>
      </c>
      <c r="JJ10" s="54" t="n">
        <v>46346</v>
      </c>
      <c r="JK10" s="54" t="n">
        <v>46347</v>
      </c>
      <c r="JL10" s="54" t="n">
        <v>46348</v>
      </c>
      <c r="JM10" s="54" t="n">
        <v>46349</v>
      </c>
      <c r="JN10" s="54" t="n">
        <v>46350</v>
      </c>
      <c r="JO10" s="54" t="n">
        <v>46351</v>
      </c>
      <c r="JP10" s="54" t="n">
        <v>46352</v>
      </c>
      <c r="JQ10" s="54" t="n">
        <v>46353</v>
      </c>
      <c r="JR10" s="54" t="n">
        <v>46354</v>
      </c>
      <c r="JS10" s="54" t="n">
        <v>46355</v>
      </c>
      <c r="JT10" s="54" t="n">
        <v>46356</v>
      </c>
      <c r="JU10" s="54" t="n">
        <v>46357</v>
      </c>
      <c r="JV10" s="54" t="n">
        <v>46358</v>
      </c>
      <c r="JW10" s="54" t="n">
        <v>46359</v>
      </c>
      <c r="JX10" s="54" t="n">
        <v>46360</v>
      </c>
      <c r="JY10" s="54" t="n">
        <v>46361</v>
      </c>
      <c r="JZ10" s="54" t="n">
        <v>46362</v>
      </c>
      <c r="KA10" s="54" t="n">
        <v>46363</v>
      </c>
      <c r="KB10" s="55" t="n">
        <v>46364</v>
      </c>
      <c r="KC10" s="55" t="n">
        <v>46365</v>
      </c>
      <c r="KD10" s="55" t="n">
        <v>46366</v>
      </c>
      <c r="KE10" s="55" t="n">
        <v>46367</v>
      </c>
      <c r="KF10" s="55" t="n">
        <v>46368</v>
      </c>
      <c r="KG10" s="55" t="n">
        <v>46369</v>
      </c>
    </row>
    <row r="11" customFormat="false" ht="22.5" hidden="false" customHeight="true" outlineLevel="0" collapsed="false">
      <c r="B11" s="56" t="n">
        <v>1</v>
      </c>
      <c r="C11" s="57" t="s">
        <v>66</v>
      </c>
      <c r="D11" s="58"/>
      <c r="E11" s="59"/>
      <c r="F11" s="60"/>
      <c r="G11" s="61"/>
      <c r="H11" s="62"/>
      <c r="I11" s="63"/>
      <c r="J11" s="64"/>
      <c r="K11" s="65"/>
      <c r="L11" s="66"/>
      <c r="M11" s="67" t="n">
        <f aca="false">IFERROR($F$184/$E$184,"")</f>
        <v>1</v>
      </c>
      <c r="N11" s="68"/>
      <c r="O11" s="69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1"/>
      <c r="AK11" s="69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1"/>
      <c r="BO11" s="69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2"/>
      <c r="CT11" s="73"/>
      <c r="CU11" s="69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4"/>
      <c r="DV11" s="68"/>
      <c r="DW11" s="69"/>
      <c r="DX11" s="70"/>
      <c r="DY11" s="70"/>
      <c r="DZ11" s="70"/>
      <c r="EA11" s="70"/>
      <c r="EB11" s="70"/>
      <c r="EC11" s="70"/>
      <c r="ED11" s="71"/>
      <c r="EE11" s="69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1"/>
      <c r="FJ11" s="69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1"/>
      <c r="GO11" s="69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4"/>
      <c r="HP11" s="68"/>
      <c r="HQ11" s="69"/>
      <c r="HR11" s="71"/>
      <c r="HS11" s="69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1"/>
      <c r="IX11" s="74"/>
      <c r="IY11" s="68"/>
      <c r="IZ11" s="69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1"/>
      <c r="KB11" s="69"/>
      <c r="KC11" s="70"/>
      <c r="KD11" s="70"/>
      <c r="KE11" s="70"/>
      <c r="KF11" s="70"/>
      <c r="KG11" s="70"/>
    </row>
    <row r="12" customFormat="false" ht="22.5" hidden="false" customHeight="true" outlineLevel="1" collapsed="false">
      <c r="B12" s="75" t="s">
        <v>67</v>
      </c>
      <c r="C12" s="76" t="s">
        <v>68</v>
      </c>
      <c r="D12" s="77" t="s">
        <v>69</v>
      </c>
      <c r="E12" s="78" t="n">
        <v>8</v>
      </c>
      <c r="F12" s="79" t="n">
        <v>8</v>
      </c>
      <c r="G12" s="80" t="n">
        <f aca="false">E12-F12</f>
        <v>0</v>
      </c>
      <c r="H12" s="81" t="n">
        <v>1</v>
      </c>
      <c r="I12" s="82"/>
      <c r="J12" s="83" t="n">
        <v>46097</v>
      </c>
      <c r="K12" s="84" t="n">
        <v>46104</v>
      </c>
      <c r="L12" s="85" t="n">
        <f aca="false">K12-J12</f>
        <v>7</v>
      </c>
      <c r="M12" s="86" t="n">
        <f aca="false">IFERROR(F12/E12,"")</f>
        <v>1</v>
      </c>
      <c r="N12" s="87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9"/>
      <c r="AK12" s="90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9"/>
      <c r="BO12" s="90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88"/>
      <c r="CO12" s="88"/>
      <c r="CP12" s="88"/>
      <c r="CQ12" s="88"/>
      <c r="CR12" s="88"/>
      <c r="CS12" s="91"/>
      <c r="CT12" s="90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92"/>
      <c r="DV12" s="87"/>
      <c r="DW12" s="88"/>
      <c r="DX12" s="88"/>
      <c r="DY12" s="88"/>
      <c r="DZ12" s="88"/>
      <c r="EA12" s="88"/>
      <c r="EB12" s="88"/>
      <c r="EC12" s="88"/>
      <c r="ED12" s="89"/>
      <c r="EE12" s="90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88"/>
      <c r="EW12" s="88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9"/>
      <c r="FJ12" s="90"/>
      <c r="FK12" s="88"/>
      <c r="FL12" s="88"/>
      <c r="FM12" s="88"/>
      <c r="FN12" s="88"/>
      <c r="FO12" s="88"/>
      <c r="FP12" s="88"/>
      <c r="FQ12" s="88"/>
      <c r="FR12" s="88"/>
      <c r="FS12" s="88"/>
      <c r="FT12" s="88"/>
      <c r="FU12" s="88"/>
      <c r="FV12" s="88"/>
      <c r="FW12" s="88"/>
      <c r="FX12" s="88"/>
      <c r="FY12" s="88"/>
      <c r="FZ12" s="88"/>
      <c r="GA12" s="88"/>
      <c r="GB12" s="88"/>
      <c r="GC12" s="88"/>
      <c r="GD12" s="88"/>
      <c r="GE12" s="88"/>
      <c r="GF12" s="88"/>
      <c r="GG12" s="88"/>
      <c r="GH12" s="88"/>
      <c r="GI12" s="88"/>
      <c r="GJ12" s="88"/>
      <c r="GK12" s="88"/>
      <c r="GL12" s="88"/>
      <c r="GM12" s="88"/>
      <c r="GN12" s="89"/>
      <c r="GO12" s="90"/>
      <c r="GP12" s="88"/>
      <c r="GQ12" s="88"/>
      <c r="GR12" s="88"/>
      <c r="GS12" s="88"/>
      <c r="GT12" s="88"/>
      <c r="GU12" s="88"/>
      <c r="GV12" s="88"/>
      <c r="GW12" s="88"/>
      <c r="GX12" s="88"/>
      <c r="GY12" s="88"/>
      <c r="GZ12" s="88"/>
      <c r="HA12" s="88"/>
      <c r="HB12" s="88"/>
      <c r="HC12" s="88"/>
      <c r="HD12" s="88"/>
      <c r="HE12" s="88"/>
      <c r="HF12" s="88"/>
      <c r="HG12" s="88"/>
      <c r="HH12" s="88"/>
      <c r="HI12" s="88"/>
      <c r="HJ12" s="88"/>
      <c r="HK12" s="88"/>
      <c r="HL12" s="88"/>
      <c r="HM12" s="88"/>
      <c r="HN12" s="88"/>
      <c r="HO12" s="92"/>
      <c r="HP12" s="87"/>
      <c r="HQ12" s="88"/>
      <c r="HR12" s="89"/>
      <c r="HS12" s="90"/>
      <c r="HT12" s="88"/>
      <c r="HU12" s="88"/>
      <c r="HV12" s="88"/>
      <c r="HW12" s="88"/>
      <c r="HX12" s="88"/>
      <c r="HY12" s="88"/>
      <c r="HZ12" s="88"/>
      <c r="IA12" s="88"/>
      <c r="IB12" s="88"/>
      <c r="IC12" s="88"/>
      <c r="ID12" s="88"/>
      <c r="IE12" s="88"/>
      <c r="IF12" s="88"/>
      <c r="IG12" s="88"/>
      <c r="IH12" s="88"/>
      <c r="II12" s="88"/>
      <c r="IJ12" s="88"/>
      <c r="IK12" s="88"/>
      <c r="IL12" s="88"/>
      <c r="IM12" s="88"/>
      <c r="IN12" s="88"/>
      <c r="IO12" s="88"/>
      <c r="IP12" s="88"/>
      <c r="IQ12" s="88"/>
      <c r="IR12" s="88"/>
      <c r="IS12" s="88"/>
      <c r="IT12" s="88"/>
      <c r="IU12" s="88"/>
      <c r="IV12" s="88"/>
      <c r="IW12" s="89"/>
      <c r="IX12" s="92"/>
      <c r="IY12" s="87"/>
      <c r="IZ12" s="88"/>
      <c r="JA12" s="88"/>
      <c r="JB12" s="88"/>
      <c r="JC12" s="88"/>
      <c r="JD12" s="88"/>
      <c r="JE12" s="88"/>
      <c r="JF12" s="88"/>
      <c r="JG12" s="88"/>
      <c r="JH12" s="88"/>
      <c r="JI12" s="88"/>
      <c r="JJ12" s="88"/>
      <c r="JK12" s="88"/>
      <c r="JL12" s="88"/>
      <c r="JM12" s="88"/>
      <c r="JN12" s="88"/>
      <c r="JO12" s="88"/>
      <c r="JP12" s="88"/>
      <c r="JQ12" s="88"/>
      <c r="JR12" s="88"/>
      <c r="JS12" s="88"/>
      <c r="JT12" s="88"/>
      <c r="JU12" s="88"/>
      <c r="JV12" s="88"/>
      <c r="JW12" s="88"/>
      <c r="JX12" s="88"/>
      <c r="JY12" s="88"/>
      <c r="JZ12" s="88"/>
      <c r="KA12" s="89"/>
      <c r="KB12" s="90"/>
      <c r="KC12" s="88"/>
      <c r="KD12" s="88"/>
      <c r="KE12" s="88"/>
      <c r="KF12" s="88"/>
      <c r="KG12" s="88"/>
    </row>
    <row r="13" customFormat="false" ht="22.5" hidden="false" customHeight="true" outlineLevel="1" collapsed="false">
      <c r="B13" s="75" t="n">
        <v>1.2</v>
      </c>
      <c r="C13" s="76" t="s">
        <v>70</v>
      </c>
      <c r="D13" s="93" t="s">
        <v>71</v>
      </c>
      <c r="E13" s="94" t="n">
        <v>20</v>
      </c>
      <c r="F13" s="94" t="n">
        <v>20</v>
      </c>
      <c r="G13" s="95" t="n">
        <f aca="false">E13-F13</f>
        <v>0</v>
      </c>
      <c r="H13" s="96" t="n">
        <v>2</v>
      </c>
      <c r="I13" s="97" t="s">
        <v>67</v>
      </c>
      <c r="J13" s="98" t="n">
        <v>46105</v>
      </c>
      <c r="K13" s="99" t="n">
        <v>46110</v>
      </c>
      <c r="L13" s="100" t="n">
        <f aca="false">K13-J13</f>
        <v>5</v>
      </c>
      <c r="M13" s="86" t="n">
        <f aca="false">IFERROR(F13/E13,"")</f>
        <v>1</v>
      </c>
      <c r="N13" s="87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9"/>
      <c r="BO13" s="90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88"/>
      <c r="CO13" s="88"/>
      <c r="CP13" s="88"/>
      <c r="CQ13" s="88"/>
      <c r="CR13" s="88"/>
      <c r="CS13" s="91"/>
      <c r="CT13" s="90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92"/>
      <c r="DV13" s="87"/>
      <c r="DW13" s="88"/>
      <c r="DX13" s="88"/>
      <c r="DY13" s="88"/>
      <c r="DZ13" s="88"/>
      <c r="EA13" s="88"/>
      <c r="EB13" s="88"/>
      <c r="EC13" s="88"/>
      <c r="ED13" s="89"/>
      <c r="EE13" s="90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88"/>
      <c r="EW13" s="88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9"/>
      <c r="FJ13" s="90"/>
      <c r="FK13" s="88"/>
      <c r="FL13" s="88"/>
      <c r="FM13" s="88"/>
      <c r="FN13" s="88"/>
      <c r="FO13" s="88"/>
      <c r="FP13" s="88"/>
      <c r="FQ13" s="88"/>
      <c r="FR13" s="88"/>
      <c r="FS13" s="88"/>
      <c r="FT13" s="88"/>
      <c r="FU13" s="88"/>
      <c r="FV13" s="88"/>
      <c r="FW13" s="88"/>
      <c r="FX13" s="88"/>
      <c r="FY13" s="88"/>
      <c r="FZ13" s="88"/>
      <c r="GA13" s="88"/>
      <c r="GB13" s="88"/>
      <c r="GC13" s="88"/>
      <c r="GD13" s="88"/>
      <c r="GE13" s="88"/>
      <c r="GF13" s="88"/>
      <c r="GG13" s="88"/>
      <c r="GH13" s="88"/>
      <c r="GI13" s="88"/>
      <c r="GJ13" s="88"/>
      <c r="GK13" s="88"/>
      <c r="GL13" s="88"/>
      <c r="GM13" s="88"/>
      <c r="GN13" s="89"/>
      <c r="GO13" s="90"/>
      <c r="GP13" s="88"/>
      <c r="GQ13" s="88"/>
      <c r="GR13" s="88"/>
      <c r="GS13" s="88"/>
      <c r="GT13" s="88"/>
      <c r="GU13" s="88"/>
      <c r="GV13" s="88"/>
      <c r="GW13" s="88"/>
      <c r="GX13" s="88"/>
      <c r="GY13" s="88"/>
      <c r="GZ13" s="88"/>
      <c r="HA13" s="88"/>
      <c r="HB13" s="88"/>
      <c r="HC13" s="88"/>
      <c r="HD13" s="88"/>
      <c r="HE13" s="88"/>
      <c r="HF13" s="88"/>
      <c r="HG13" s="88"/>
      <c r="HH13" s="88"/>
      <c r="HI13" s="88"/>
      <c r="HJ13" s="88"/>
      <c r="HK13" s="88"/>
      <c r="HL13" s="88"/>
      <c r="HM13" s="88"/>
      <c r="HN13" s="88"/>
      <c r="HO13" s="92"/>
      <c r="HP13" s="87"/>
      <c r="HQ13" s="88"/>
      <c r="HR13" s="89"/>
      <c r="HS13" s="90"/>
      <c r="HT13" s="88"/>
      <c r="HU13" s="88"/>
      <c r="HV13" s="88"/>
      <c r="HW13" s="88"/>
      <c r="HX13" s="88"/>
      <c r="HY13" s="88"/>
      <c r="HZ13" s="88"/>
      <c r="IA13" s="88"/>
      <c r="IB13" s="88"/>
      <c r="IC13" s="88"/>
      <c r="ID13" s="88"/>
      <c r="IE13" s="88"/>
      <c r="IF13" s="88"/>
      <c r="IG13" s="88"/>
      <c r="IH13" s="88"/>
      <c r="II13" s="88"/>
      <c r="IJ13" s="88"/>
      <c r="IK13" s="88"/>
      <c r="IL13" s="88"/>
      <c r="IM13" s="88"/>
      <c r="IN13" s="88"/>
      <c r="IO13" s="88"/>
      <c r="IP13" s="88"/>
      <c r="IQ13" s="88"/>
      <c r="IR13" s="88"/>
      <c r="IS13" s="88"/>
      <c r="IT13" s="88"/>
      <c r="IU13" s="88"/>
      <c r="IV13" s="88"/>
      <c r="IW13" s="89"/>
      <c r="IX13" s="92"/>
      <c r="IY13" s="87"/>
      <c r="IZ13" s="88"/>
      <c r="JA13" s="88"/>
      <c r="JB13" s="88"/>
      <c r="JC13" s="88"/>
      <c r="JD13" s="88"/>
      <c r="JE13" s="88"/>
      <c r="JF13" s="88"/>
      <c r="JG13" s="88"/>
      <c r="JH13" s="88"/>
      <c r="JI13" s="88"/>
      <c r="JJ13" s="88"/>
      <c r="JK13" s="88"/>
      <c r="JL13" s="88"/>
      <c r="JM13" s="88"/>
      <c r="JN13" s="88"/>
      <c r="JO13" s="88"/>
      <c r="JP13" s="88"/>
      <c r="JQ13" s="88"/>
      <c r="JR13" s="88"/>
      <c r="JS13" s="88"/>
      <c r="JT13" s="88"/>
      <c r="JU13" s="88"/>
      <c r="JV13" s="88"/>
      <c r="JW13" s="88"/>
      <c r="JX13" s="88"/>
      <c r="JY13" s="88"/>
      <c r="JZ13" s="88"/>
      <c r="KA13" s="89"/>
      <c r="KB13" s="90"/>
      <c r="KC13" s="88"/>
      <c r="KD13" s="88"/>
      <c r="KE13" s="88"/>
      <c r="KF13" s="88"/>
      <c r="KG13" s="88"/>
    </row>
    <row r="14" customFormat="false" ht="22.5" hidden="false" customHeight="true" outlineLevel="1" collapsed="false">
      <c r="B14" s="75" t="n">
        <v>1.3</v>
      </c>
      <c r="C14" s="76" t="s">
        <v>72</v>
      </c>
      <c r="D14" s="77" t="s">
        <v>73</v>
      </c>
      <c r="E14" s="101" t="n">
        <v>3</v>
      </c>
      <c r="F14" s="102" t="n">
        <v>3</v>
      </c>
      <c r="G14" s="95" t="n">
        <f aca="false">E14-F14</f>
        <v>0</v>
      </c>
      <c r="H14" s="96" t="n">
        <v>2</v>
      </c>
      <c r="I14" s="97" t="s">
        <v>74</v>
      </c>
      <c r="J14" s="98" t="n">
        <v>46111</v>
      </c>
      <c r="K14" s="98" t="n">
        <v>46111</v>
      </c>
      <c r="L14" s="100" t="n">
        <f aca="false">K14-J14</f>
        <v>0</v>
      </c>
      <c r="M14" s="86" t="n">
        <f aca="false">IFERROR(F14/E14,"")</f>
        <v>1</v>
      </c>
      <c r="N14" s="87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9"/>
      <c r="AK14" s="90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9"/>
      <c r="BO14" s="90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91"/>
      <c r="CT14" s="90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92"/>
      <c r="DV14" s="87"/>
      <c r="DW14" s="88"/>
      <c r="DX14" s="88"/>
      <c r="DY14" s="88"/>
      <c r="DZ14" s="88"/>
      <c r="EA14" s="88"/>
      <c r="EB14" s="88"/>
      <c r="EC14" s="88"/>
      <c r="ED14" s="89"/>
      <c r="EE14" s="90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88"/>
      <c r="EW14" s="88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9"/>
      <c r="FJ14" s="90"/>
      <c r="FK14" s="88"/>
      <c r="FL14" s="88"/>
      <c r="FM14" s="88"/>
      <c r="FN14" s="88"/>
      <c r="FO14" s="88"/>
      <c r="FP14" s="88"/>
      <c r="FQ14" s="88"/>
      <c r="FR14" s="88"/>
      <c r="FS14" s="88"/>
      <c r="FT14" s="88"/>
      <c r="FU14" s="88"/>
      <c r="FV14" s="88"/>
      <c r="FW14" s="88"/>
      <c r="FX14" s="88"/>
      <c r="FY14" s="88"/>
      <c r="FZ14" s="88"/>
      <c r="GA14" s="88"/>
      <c r="GB14" s="88"/>
      <c r="GC14" s="88"/>
      <c r="GD14" s="88"/>
      <c r="GE14" s="88"/>
      <c r="GF14" s="88"/>
      <c r="GG14" s="88"/>
      <c r="GH14" s="88"/>
      <c r="GI14" s="88"/>
      <c r="GJ14" s="88"/>
      <c r="GK14" s="88"/>
      <c r="GL14" s="88"/>
      <c r="GM14" s="88"/>
      <c r="GN14" s="89"/>
      <c r="GO14" s="90"/>
      <c r="GP14" s="88"/>
      <c r="GQ14" s="88"/>
      <c r="GR14" s="88"/>
      <c r="GS14" s="88"/>
      <c r="GT14" s="88"/>
      <c r="GU14" s="88"/>
      <c r="GV14" s="88"/>
      <c r="GW14" s="88"/>
      <c r="GX14" s="88"/>
      <c r="GY14" s="88"/>
      <c r="GZ14" s="88"/>
      <c r="HA14" s="88"/>
      <c r="HB14" s="88"/>
      <c r="HC14" s="88"/>
      <c r="HD14" s="88"/>
      <c r="HE14" s="88"/>
      <c r="HF14" s="88"/>
      <c r="HG14" s="88"/>
      <c r="HH14" s="88"/>
      <c r="HI14" s="88"/>
      <c r="HJ14" s="88"/>
      <c r="HK14" s="88"/>
      <c r="HL14" s="88"/>
      <c r="HM14" s="88"/>
      <c r="HN14" s="88"/>
      <c r="HO14" s="92"/>
      <c r="HP14" s="87"/>
      <c r="HQ14" s="88"/>
      <c r="HR14" s="89"/>
      <c r="HS14" s="90"/>
      <c r="HT14" s="88"/>
      <c r="HU14" s="88"/>
      <c r="HV14" s="88"/>
      <c r="HW14" s="88"/>
      <c r="HX14" s="88"/>
      <c r="HY14" s="88"/>
      <c r="HZ14" s="88"/>
      <c r="IA14" s="88"/>
      <c r="IB14" s="88"/>
      <c r="IC14" s="88"/>
      <c r="ID14" s="88"/>
      <c r="IE14" s="88"/>
      <c r="IF14" s="88"/>
      <c r="IG14" s="88"/>
      <c r="IH14" s="88"/>
      <c r="II14" s="88"/>
      <c r="IJ14" s="88"/>
      <c r="IK14" s="88"/>
      <c r="IL14" s="88"/>
      <c r="IM14" s="88"/>
      <c r="IN14" s="88"/>
      <c r="IO14" s="88"/>
      <c r="IP14" s="88"/>
      <c r="IQ14" s="88"/>
      <c r="IR14" s="88"/>
      <c r="IS14" s="88"/>
      <c r="IT14" s="88"/>
      <c r="IU14" s="88"/>
      <c r="IV14" s="88"/>
      <c r="IW14" s="89"/>
      <c r="IX14" s="92"/>
      <c r="IY14" s="87"/>
      <c r="IZ14" s="88"/>
      <c r="JA14" s="88"/>
      <c r="JB14" s="88"/>
      <c r="JC14" s="88"/>
      <c r="JD14" s="88"/>
      <c r="JE14" s="88"/>
      <c r="JF14" s="88"/>
      <c r="JG14" s="88"/>
      <c r="JH14" s="88"/>
      <c r="JI14" s="88"/>
      <c r="JJ14" s="88"/>
      <c r="JK14" s="88"/>
      <c r="JL14" s="88"/>
      <c r="JM14" s="88"/>
      <c r="JN14" s="88"/>
      <c r="JO14" s="88"/>
      <c r="JP14" s="88"/>
      <c r="JQ14" s="88"/>
      <c r="JR14" s="88"/>
      <c r="JS14" s="88"/>
      <c r="JT14" s="88"/>
      <c r="JU14" s="88"/>
      <c r="JV14" s="88"/>
      <c r="JW14" s="88"/>
      <c r="JX14" s="88"/>
      <c r="JY14" s="88"/>
      <c r="JZ14" s="88"/>
      <c r="KA14" s="89"/>
      <c r="KB14" s="90"/>
      <c r="KC14" s="88"/>
      <c r="KD14" s="88"/>
      <c r="KE14" s="88"/>
      <c r="KF14" s="88"/>
      <c r="KG14" s="88"/>
    </row>
    <row r="15" customFormat="false" ht="22.5" hidden="false" customHeight="true" outlineLevel="1" collapsed="false">
      <c r="B15" s="75" t="s">
        <v>75</v>
      </c>
      <c r="C15" s="76" t="s">
        <v>76</v>
      </c>
      <c r="D15" s="77" t="s">
        <v>77</v>
      </c>
      <c r="E15" s="101" t="n">
        <v>4</v>
      </c>
      <c r="F15" s="102" t="n">
        <v>4</v>
      </c>
      <c r="G15" s="95" t="n">
        <f aca="false">E15-F15</f>
        <v>0</v>
      </c>
      <c r="H15" s="96" t="n">
        <v>2</v>
      </c>
      <c r="I15" s="97" t="s">
        <v>78</v>
      </c>
      <c r="J15" s="98" t="n">
        <v>46113</v>
      </c>
      <c r="K15" s="98" t="n">
        <v>46114</v>
      </c>
      <c r="L15" s="100" t="n">
        <f aca="false">K15-J15</f>
        <v>1</v>
      </c>
      <c r="M15" s="86" t="n">
        <f aca="false">IFERROR(F15/E15,"")</f>
        <v>1</v>
      </c>
      <c r="N15" s="87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9"/>
      <c r="AK15" s="90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9"/>
      <c r="BO15" s="90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91"/>
      <c r="CT15" s="90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92"/>
      <c r="DV15" s="87"/>
      <c r="DW15" s="88"/>
      <c r="DX15" s="88"/>
      <c r="DY15" s="88"/>
      <c r="DZ15" s="88"/>
      <c r="EA15" s="88"/>
      <c r="EB15" s="88"/>
      <c r="EC15" s="88"/>
      <c r="ED15" s="89"/>
      <c r="EE15" s="90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88"/>
      <c r="EW15" s="88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9"/>
      <c r="FJ15" s="90"/>
      <c r="FK15" s="88"/>
      <c r="FL15" s="88"/>
      <c r="FM15" s="88"/>
      <c r="FN15" s="88"/>
      <c r="FO15" s="88"/>
      <c r="FP15" s="88"/>
      <c r="FQ15" s="88"/>
      <c r="FR15" s="88"/>
      <c r="FS15" s="88"/>
      <c r="FT15" s="88"/>
      <c r="FU15" s="88"/>
      <c r="FV15" s="88"/>
      <c r="FW15" s="88"/>
      <c r="FX15" s="88"/>
      <c r="FY15" s="88"/>
      <c r="FZ15" s="88"/>
      <c r="GA15" s="88"/>
      <c r="GB15" s="88"/>
      <c r="GC15" s="88"/>
      <c r="GD15" s="88"/>
      <c r="GE15" s="88"/>
      <c r="GF15" s="88"/>
      <c r="GG15" s="88"/>
      <c r="GH15" s="88"/>
      <c r="GI15" s="88"/>
      <c r="GJ15" s="88"/>
      <c r="GK15" s="88"/>
      <c r="GL15" s="88"/>
      <c r="GM15" s="88"/>
      <c r="GN15" s="89"/>
      <c r="GO15" s="90"/>
      <c r="GP15" s="88"/>
      <c r="GQ15" s="88"/>
      <c r="GR15" s="88"/>
      <c r="GS15" s="88"/>
      <c r="GT15" s="88"/>
      <c r="GU15" s="88"/>
      <c r="GV15" s="88"/>
      <c r="GW15" s="88"/>
      <c r="GX15" s="88"/>
      <c r="GY15" s="88"/>
      <c r="GZ15" s="88"/>
      <c r="HA15" s="88"/>
      <c r="HB15" s="88"/>
      <c r="HC15" s="88"/>
      <c r="HD15" s="88"/>
      <c r="HE15" s="88"/>
      <c r="HF15" s="88"/>
      <c r="HG15" s="88"/>
      <c r="HH15" s="88"/>
      <c r="HI15" s="88"/>
      <c r="HJ15" s="88"/>
      <c r="HK15" s="88"/>
      <c r="HL15" s="88"/>
      <c r="HM15" s="88"/>
      <c r="HN15" s="88"/>
      <c r="HO15" s="92"/>
      <c r="HP15" s="87"/>
      <c r="HQ15" s="88"/>
      <c r="HR15" s="89"/>
      <c r="HS15" s="90"/>
      <c r="HT15" s="88"/>
      <c r="HU15" s="88"/>
      <c r="HV15" s="88"/>
      <c r="HW15" s="88"/>
      <c r="HX15" s="88"/>
      <c r="HY15" s="88"/>
      <c r="HZ15" s="88"/>
      <c r="IA15" s="88"/>
      <c r="IB15" s="88"/>
      <c r="IC15" s="88"/>
      <c r="ID15" s="88"/>
      <c r="IE15" s="88"/>
      <c r="IF15" s="88"/>
      <c r="IG15" s="88"/>
      <c r="IH15" s="88"/>
      <c r="II15" s="88"/>
      <c r="IJ15" s="88"/>
      <c r="IK15" s="88"/>
      <c r="IL15" s="88"/>
      <c r="IM15" s="88"/>
      <c r="IN15" s="88"/>
      <c r="IO15" s="88"/>
      <c r="IP15" s="88"/>
      <c r="IQ15" s="88"/>
      <c r="IR15" s="88"/>
      <c r="IS15" s="88"/>
      <c r="IT15" s="88"/>
      <c r="IU15" s="88"/>
      <c r="IV15" s="88"/>
      <c r="IW15" s="89"/>
      <c r="IX15" s="92"/>
      <c r="IY15" s="87"/>
      <c r="IZ15" s="88"/>
      <c r="JA15" s="88"/>
      <c r="JB15" s="88"/>
      <c r="JC15" s="88"/>
      <c r="JD15" s="88"/>
      <c r="JE15" s="88"/>
      <c r="JF15" s="88"/>
      <c r="JG15" s="88"/>
      <c r="JH15" s="88"/>
      <c r="JI15" s="88"/>
      <c r="JJ15" s="88"/>
      <c r="JK15" s="88"/>
      <c r="JL15" s="88"/>
      <c r="JM15" s="88"/>
      <c r="JN15" s="88"/>
      <c r="JO15" s="88"/>
      <c r="JP15" s="88"/>
      <c r="JQ15" s="88"/>
      <c r="JR15" s="88"/>
      <c r="JS15" s="88"/>
      <c r="JT15" s="88"/>
      <c r="JU15" s="88"/>
      <c r="JV15" s="88"/>
      <c r="JW15" s="88"/>
      <c r="JX15" s="88"/>
      <c r="JY15" s="88"/>
      <c r="JZ15" s="88"/>
      <c r="KA15" s="89"/>
      <c r="KB15" s="90"/>
      <c r="KC15" s="88"/>
      <c r="KD15" s="88"/>
      <c r="KE15" s="88"/>
      <c r="KF15" s="88"/>
      <c r="KG15" s="88"/>
    </row>
    <row r="16" customFormat="false" ht="22.5" hidden="false" customHeight="true" outlineLevel="1" collapsed="false">
      <c r="B16" s="75" t="s">
        <v>79</v>
      </c>
      <c r="C16" s="76" t="s">
        <v>80</v>
      </c>
      <c r="D16" s="77" t="s">
        <v>77</v>
      </c>
      <c r="E16" s="101" t="n">
        <v>10</v>
      </c>
      <c r="F16" s="102" t="n">
        <v>10</v>
      </c>
      <c r="G16" s="95" t="n">
        <f aca="false">E16-F16</f>
        <v>0</v>
      </c>
      <c r="H16" s="96" t="n">
        <v>2</v>
      </c>
      <c r="I16" s="97" t="s">
        <v>75</v>
      </c>
      <c r="J16" s="98" t="n">
        <v>46115</v>
      </c>
      <c r="K16" s="98" t="n">
        <v>46118</v>
      </c>
      <c r="L16" s="100" t="n">
        <f aca="false">K16-J16</f>
        <v>3</v>
      </c>
      <c r="M16" s="86" t="n">
        <f aca="false">IFERROR(F16/E16,"")</f>
        <v>1</v>
      </c>
      <c r="N16" s="87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9"/>
      <c r="AK16" s="90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9"/>
      <c r="BO16" s="90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91"/>
      <c r="CT16" s="90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92"/>
      <c r="DV16" s="87"/>
      <c r="DW16" s="88"/>
      <c r="DX16" s="88"/>
      <c r="DY16" s="88"/>
      <c r="DZ16" s="88"/>
      <c r="EA16" s="88"/>
      <c r="EB16" s="88"/>
      <c r="EC16" s="88"/>
      <c r="ED16" s="89"/>
      <c r="EE16" s="90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88"/>
      <c r="EW16" s="88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9"/>
      <c r="FJ16" s="90"/>
      <c r="FK16" s="88"/>
      <c r="FL16" s="88"/>
      <c r="FM16" s="88"/>
      <c r="FN16" s="88"/>
      <c r="FO16" s="88"/>
      <c r="FP16" s="88"/>
      <c r="FQ16" s="88"/>
      <c r="FR16" s="88"/>
      <c r="FS16" s="88"/>
      <c r="FT16" s="88"/>
      <c r="FU16" s="88"/>
      <c r="FV16" s="88"/>
      <c r="FW16" s="88"/>
      <c r="FX16" s="88"/>
      <c r="FY16" s="88"/>
      <c r="FZ16" s="88"/>
      <c r="GA16" s="88"/>
      <c r="GB16" s="88"/>
      <c r="GC16" s="88"/>
      <c r="GD16" s="88"/>
      <c r="GE16" s="88"/>
      <c r="GF16" s="88"/>
      <c r="GG16" s="88"/>
      <c r="GH16" s="88"/>
      <c r="GI16" s="88"/>
      <c r="GJ16" s="88"/>
      <c r="GK16" s="88"/>
      <c r="GL16" s="88"/>
      <c r="GM16" s="88"/>
      <c r="GN16" s="89"/>
      <c r="GO16" s="90"/>
      <c r="GP16" s="88"/>
      <c r="GQ16" s="88"/>
      <c r="GR16" s="88"/>
      <c r="GS16" s="88"/>
      <c r="GT16" s="88"/>
      <c r="GU16" s="88"/>
      <c r="GV16" s="88"/>
      <c r="GW16" s="88"/>
      <c r="GX16" s="88"/>
      <c r="GY16" s="88"/>
      <c r="GZ16" s="88"/>
      <c r="HA16" s="88"/>
      <c r="HB16" s="88"/>
      <c r="HC16" s="88"/>
      <c r="HD16" s="88"/>
      <c r="HE16" s="88"/>
      <c r="HF16" s="88"/>
      <c r="HG16" s="88"/>
      <c r="HH16" s="88"/>
      <c r="HI16" s="88"/>
      <c r="HJ16" s="88"/>
      <c r="HK16" s="88"/>
      <c r="HL16" s="88"/>
      <c r="HM16" s="88"/>
      <c r="HN16" s="88"/>
      <c r="HO16" s="92"/>
      <c r="HP16" s="87"/>
      <c r="HQ16" s="88"/>
      <c r="HR16" s="89"/>
      <c r="HS16" s="90"/>
      <c r="HT16" s="88"/>
      <c r="HU16" s="88"/>
      <c r="HV16" s="88"/>
      <c r="HW16" s="88"/>
      <c r="HX16" s="88"/>
      <c r="HY16" s="88"/>
      <c r="HZ16" s="88"/>
      <c r="IA16" s="88"/>
      <c r="IB16" s="88"/>
      <c r="IC16" s="88"/>
      <c r="ID16" s="88"/>
      <c r="IE16" s="88"/>
      <c r="IF16" s="88"/>
      <c r="IG16" s="88"/>
      <c r="IH16" s="88"/>
      <c r="II16" s="88"/>
      <c r="IJ16" s="88"/>
      <c r="IK16" s="88"/>
      <c r="IL16" s="88"/>
      <c r="IM16" s="88"/>
      <c r="IN16" s="88"/>
      <c r="IO16" s="88"/>
      <c r="IP16" s="88"/>
      <c r="IQ16" s="88"/>
      <c r="IR16" s="88"/>
      <c r="IS16" s="88"/>
      <c r="IT16" s="88"/>
      <c r="IU16" s="88"/>
      <c r="IV16" s="88"/>
      <c r="IW16" s="89"/>
      <c r="IX16" s="92"/>
      <c r="IY16" s="87"/>
      <c r="IZ16" s="88"/>
      <c r="JA16" s="88"/>
      <c r="JB16" s="88"/>
      <c r="JC16" s="88"/>
      <c r="JD16" s="88"/>
      <c r="JE16" s="88"/>
      <c r="JF16" s="88"/>
      <c r="JG16" s="88"/>
      <c r="JH16" s="88"/>
      <c r="JI16" s="88"/>
      <c r="JJ16" s="88"/>
      <c r="JK16" s="88"/>
      <c r="JL16" s="88"/>
      <c r="JM16" s="88"/>
      <c r="JN16" s="88"/>
      <c r="JO16" s="88"/>
      <c r="JP16" s="88"/>
      <c r="JQ16" s="88"/>
      <c r="JR16" s="88"/>
      <c r="JS16" s="88"/>
      <c r="JT16" s="88"/>
      <c r="JU16" s="88"/>
      <c r="JV16" s="88"/>
      <c r="JW16" s="88"/>
      <c r="JX16" s="88"/>
      <c r="JY16" s="88"/>
      <c r="JZ16" s="88"/>
      <c r="KA16" s="89"/>
      <c r="KB16" s="90"/>
      <c r="KC16" s="88"/>
      <c r="KD16" s="88"/>
      <c r="KE16" s="88"/>
      <c r="KF16" s="88"/>
      <c r="KG16" s="88"/>
    </row>
    <row r="17" customFormat="false" ht="22.5" hidden="false" customHeight="true" outlineLevel="1" collapsed="false">
      <c r="B17" s="75" t="s">
        <v>81</v>
      </c>
      <c r="C17" s="76" t="s">
        <v>82</v>
      </c>
      <c r="D17" s="77" t="s">
        <v>73</v>
      </c>
      <c r="E17" s="101" t="n">
        <v>2</v>
      </c>
      <c r="F17" s="102" t="n">
        <v>2</v>
      </c>
      <c r="G17" s="95" t="n">
        <f aca="false">E17-F17</f>
        <v>0</v>
      </c>
      <c r="H17" s="96" t="n">
        <v>2</v>
      </c>
      <c r="I17" s="97" t="s">
        <v>79</v>
      </c>
      <c r="J17" s="98" t="n">
        <v>46119</v>
      </c>
      <c r="K17" s="98" t="n">
        <v>46119</v>
      </c>
      <c r="L17" s="100" t="n">
        <f aca="false">K17-J17</f>
        <v>0</v>
      </c>
      <c r="M17" s="86" t="n">
        <f aca="false">IFERROR(F17/E17,"")</f>
        <v>1</v>
      </c>
      <c r="N17" s="87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9"/>
      <c r="AK17" s="90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9"/>
      <c r="BO17" s="90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88"/>
      <c r="CO17" s="88"/>
      <c r="CP17" s="88"/>
      <c r="CQ17" s="88"/>
      <c r="CR17" s="88"/>
      <c r="CS17" s="91"/>
      <c r="CT17" s="90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92"/>
      <c r="DV17" s="87"/>
      <c r="DW17" s="88"/>
      <c r="DX17" s="88"/>
      <c r="DY17" s="88"/>
      <c r="DZ17" s="88"/>
      <c r="EA17" s="88"/>
      <c r="EB17" s="88"/>
      <c r="EC17" s="88"/>
      <c r="ED17" s="89"/>
      <c r="EE17" s="90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88"/>
      <c r="EW17" s="88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9"/>
      <c r="FJ17" s="90"/>
      <c r="FK17" s="88"/>
      <c r="FL17" s="88"/>
      <c r="FM17" s="88"/>
      <c r="FN17" s="88"/>
      <c r="FO17" s="88"/>
      <c r="FP17" s="88"/>
      <c r="FQ17" s="88"/>
      <c r="FR17" s="88"/>
      <c r="FS17" s="88"/>
      <c r="FT17" s="88"/>
      <c r="FU17" s="88"/>
      <c r="FV17" s="88"/>
      <c r="FW17" s="88"/>
      <c r="FX17" s="88"/>
      <c r="FY17" s="88"/>
      <c r="FZ17" s="88"/>
      <c r="GA17" s="88"/>
      <c r="GB17" s="88"/>
      <c r="GC17" s="88"/>
      <c r="GD17" s="88"/>
      <c r="GE17" s="88"/>
      <c r="GF17" s="88"/>
      <c r="GG17" s="88"/>
      <c r="GH17" s="88"/>
      <c r="GI17" s="88"/>
      <c r="GJ17" s="88"/>
      <c r="GK17" s="88"/>
      <c r="GL17" s="88"/>
      <c r="GM17" s="88"/>
      <c r="GN17" s="89"/>
      <c r="GO17" s="90"/>
      <c r="GP17" s="88"/>
      <c r="GQ17" s="88"/>
      <c r="GR17" s="88"/>
      <c r="GS17" s="88"/>
      <c r="GT17" s="88"/>
      <c r="GU17" s="88"/>
      <c r="GV17" s="88"/>
      <c r="GW17" s="88"/>
      <c r="GX17" s="88"/>
      <c r="GY17" s="88"/>
      <c r="GZ17" s="88"/>
      <c r="HA17" s="88"/>
      <c r="HB17" s="88"/>
      <c r="HC17" s="88"/>
      <c r="HD17" s="88"/>
      <c r="HE17" s="88"/>
      <c r="HF17" s="88"/>
      <c r="HG17" s="88"/>
      <c r="HH17" s="88"/>
      <c r="HI17" s="88"/>
      <c r="HJ17" s="88"/>
      <c r="HK17" s="88"/>
      <c r="HL17" s="88"/>
      <c r="HM17" s="88"/>
      <c r="HN17" s="88"/>
      <c r="HO17" s="92"/>
      <c r="HP17" s="87"/>
      <c r="HQ17" s="88"/>
      <c r="HR17" s="89"/>
      <c r="HS17" s="90"/>
      <c r="HT17" s="88"/>
      <c r="HU17" s="88"/>
      <c r="HV17" s="88"/>
      <c r="HW17" s="88"/>
      <c r="HX17" s="88"/>
      <c r="HY17" s="88"/>
      <c r="HZ17" s="88"/>
      <c r="IA17" s="88"/>
      <c r="IB17" s="88"/>
      <c r="IC17" s="88"/>
      <c r="ID17" s="88"/>
      <c r="IE17" s="88"/>
      <c r="IF17" s="88"/>
      <c r="IG17" s="88"/>
      <c r="IH17" s="88"/>
      <c r="II17" s="88"/>
      <c r="IJ17" s="88"/>
      <c r="IK17" s="88"/>
      <c r="IL17" s="88"/>
      <c r="IM17" s="88"/>
      <c r="IN17" s="88"/>
      <c r="IO17" s="88"/>
      <c r="IP17" s="88"/>
      <c r="IQ17" s="88"/>
      <c r="IR17" s="88"/>
      <c r="IS17" s="88"/>
      <c r="IT17" s="88"/>
      <c r="IU17" s="88"/>
      <c r="IV17" s="88"/>
      <c r="IW17" s="89"/>
      <c r="IX17" s="92"/>
      <c r="IY17" s="87"/>
      <c r="IZ17" s="88"/>
      <c r="JA17" s="88"/>
      <c r="JB17" s="88"/>
      <c r="JC17" s="88"/>
      <c r="JD17" s="88"/>
      <c r="JE17" s="88"/>
      <c r="JF17" s="88"/>
      <c r="JG17" s="88"/>
      <c r="JH17" s="88"/>
      <c r="JI17" s="88"/>
      <c r="JJ17" s="88"/>
      <c r="JK17" s="88"/>
      <c r="JL17" s="88"/>
      <c r="JM17" s="88"/>
      <c r="JN17" s="88"/>
      <c r="JO17" s="88"/>
      <c r="JP17" s="88"/>
      <c r="JQ17" s="88"/>
      <c r="JR17" s="88"/>
      <c r="JS17" s="88"/>
      <c r="JT17" s="88"/>
      <c r="JU17" s="88"/>
      <c r="JV17" s="88"/>
      <c r="JW17" s="88"/>
      <c r="JX17" s="88"/>
      <c r="JY17" s="88"/>
      <c r="JZ17" s="88"/>
      <c r="KA17" s="89"/>
      <c r="KB17" s="90"/>
      <c r="KC17" s="88"/>
      <c r="KD17" s="88"/>
      <c r="KE17" s="88"/>
      <c r="KF17" s="88"/>
      <c r="KG17" s="88"/>
    </row>
    <row r="18" customFormat="false" ht="22.5" hidden="false" customHeight="true" outlineLevel="1" collapsed="false">
      <c r="B18" s="75" t="s">
        <v>83</v>
      </c>
      <c r="C18" s="76" t="s">
        <v>84</v>
      </c>
      <c r="D18" s="77" t="s">
        <v>77</v>
      </c>
      <c r="E18" s="101" t="n">
        <v>5</v>
      </c>
      <c r="F18" s="102" t="n">
        <v>5</v>
      </c>
      <c r="G18" s="95" t="n">
        <f aca="false">E18-F18</f>
        <v>0</v>
      </c>
      <c r="H18" s="96" t="n">
        <v>2</v>
      </c>
      <c r="I18" s="97" t="s">
        <v>81</v>
      </c>
      <c r="J18" s="98" t="n">
        <v>46120</v>
      </c>
      <c r="K18" s="103" t="n">
        <v>46122</v>
      </c>
      <c r="L18" s="100" t="n">
        <f aca="false">K18-J18</f>
        <v>2</v>
      </c>
      <c r="M18" s="86" t="n">
        <f aca="false">IFERROR(F18/E18,"")</f>
        <v>1</v>
      </c>
      <c r="N18" s="87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90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9"/>
      <c r="BO18" s="90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88"/>
      <c r="CO18" s="88"/>
      <c r="CP18" s="88"/>
      <c r="CQ18" s="88"/>
      <c r="CR18" s="88"/>
      <c r="CS18" s="91"/>
      <c r="CT18" s="90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92"/>
      <c r="DV18" s="87"/>
      <c r="DW18" s="88"/>
      <c r="DX18" s="88"/>
      <c r="DY18" s="88"/>
      <c r="DZ18" s="88"/>
      <c r="EA18" s="88"/>
      <c r="EB18" s="88"/>
      <c r="EC18" s="88"/>
      <c r="ED18" s="89"/>
      <c r="EE18" s="90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88"/>
      <c r="EW18" s="88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9"/>
      <c r="FJ18" s="90"/>
      <c r="FK18" s="88"/>
      <c r="FL18" s="88"/>
      <c r="FM18" s="88"/>
      <c r="FN18" s="88"/>
      <c r="FO18" s="88"/>
      <c r="FP18" s="88"/>
      <c r="FQ18" s="88"/>
      <c r="FR18" s="88"/>
      <c r="FS18" s="88"/>
      <c r="FT18" s="88"/>
      <c r="FU18" s="88"/>
      <c r="FV18" s="88"/>
      <c r="FW18" s="88"/>
      <c r="FX18" s="88"/>
      <c r="FY18" s="88"/>
      <c r="FZ18" s="88"/>
      <c r="GA18" s="88"/>
      <c r="GB18" s="88"/>
      <c r="GC18" s="88"/>
      <c r="GD18" s="88"/>
      <c r="GE18" s="88"/>
      <c r="GF18" s="88"/>
      <c r="GG18" s="88"/>
      <c r="GH18" s="88"/>
      <c r="GI18" s="88"/>
      <c r="GJ18" s="88"/>
      <c r="GK18" s="88"/>
      <c r="GL18" s="88"/>
      <c r="GM18" s="88"/>
      <c r="GN18" s="89"/>
      <c r="GO18" s="90"/>
      <c r="GP18" s="88"/>
      <c r="GQ18" s="88"/>
      <c r="GR18" s="88"/>
      <c r="GS18" s="88"/>
      <c r="GT18" s="88"/>
      <c r="GU18" s="88"/>
      <c r="GV18" s="88"/>
      <c r="GW18" s="88"/>
      <c r="GX18" s="88"/>
      <c r="GY18" s="88"/>
      <c r="GZ18" s="88"/>
      <c r="HA18" s="88"/>
      <c r="HB18" s="88"/>
      <c r="HC18" s="88"/>
      <c r="HD18" s="88"/>
      <c r="HE18" s="88"/>
      <c r="HF18" s="88"/>
      <c r="HG18" s="88"/>
      <c r="HH18" s="88"/>
      <c r="HI18" s="88"/>
      <c r="HJ18" s="88"/>
      <c r="HK18" s="88"/>
      <c r="HL18" s="88"/>
      <c r="HM18" s="88"/>
      <c r="HN18" s="88"/>
      <c r="HO18" s="92"/>
      <c r="HP18" s="87"/>
      <c r="HQ18" s="88"/>
      <c r="HR18" s="89"/>
      <c r="HS18" s="90"/>
      <c r="HT18" s="88"/>
      <c r="HU18" s="88"/>
      <c r="HV18" s="88"/>
      <c r="HW18" s="88"/>
      <c r="HX18" s="88"/>
      <c r="HY18" s="88"/>
      <c r="HZ18" s="88"/>
      <c r="IA18" s="88"/>
      <c r="IB18" s="88"/>
      <c r="IC18" s="88"/>
      <c r="ID18" s="88"/>
      <c r="IE18" s="88"/>
      <c r="IF18" s="88"/>
      <c r="IG18" s="88"/>
      <c r="IH18" s="88"/>
      <c r="II18" s="88"/>
      <c r="IJ18" s="88"/>
      <c r="IK18" s="88"/>
      <c r="IL18" s="88"/>
      <c r="IM18" s="88"/>
      <c r="IN18" s="88"/>
      <c r="IO18" s="88"/>
      <c r="IP18" s="88"/>
      <c r="IQ18" s="88"/>
      <c r="IR18" s="88"/>
      <c r="IS18" s="88"/>
      <c r="IT18" s="88"/>
      <c r="IU18" s="88"/>
      <c r="IV18" s="88"/>
      <c r="IW18" s="89"/>
      <c r="IX18" s="92"/>
      <c r="IY18" s="87"/>
      <c r="IZ18" s="88"/>
      <c r="JA18" s="88"/>
      <c r="JB18" s="88"/>
      <c r="JC18" s="88"/>
      <c r="JD18" s="88"/>
      <c r="JE18" s="88"/>
      <c r="JF18" s="88"/>
      <c r="JG18" s="88"/>
      <c r="JH18" s="88"/>
      <c r="JI18" s="88"/>
      <c r="JJ18" s="88"/>
      <c r="JK18" s="88"/>
      <c r="JL18" s="88"/>
      <c r="JM18" s="88"/>
      <c r="JN18" s="88"/>
      <c r="JO18" s="88"/>
      <c r="JP18" s="88"/>
      <c r="JQ18" s="88"/>
      <c r="JR18" s="88"/>
      <c r="JS18" s="88"/>
      <c r="JT18" s="88"/>
      <c r="JU18" s="88"/>
      <c r="JV18" s="88"/>
      <c r="JW18" s="88"/>
      <c r="JX18" s="88"/>
      <c r="JY18" s="88"/>
      <c r="JZ18" s="88"/>
      <c r="KA18" s="89"/>
      <c r="KB18" s="90"/>
      <c r="KC18" s="88"/>
      <c r="KD18" s="88"/>
      <c r="KE18" s="88"/>
      <c r="KF18" s="88"/>
      <c r="KG18" s="88"/>
    </row>
    <row r="19" customFormat="false" ht="22.5" hidden="false" customHeight="true" outlineLevel="1" collapsed="false">
      <c r="B19" s="75" t="s">
        <v>85</v>
      </c>
      <c r="C19" s="76" t="s">
        <v>86</v>
      </c>
      <c r="D19" s="77" t="s">
        <v>87</v>
      </c>
      <c r="E19" s="101" t="n">
        <v>2</v>
      </c>
      <c r="F19" s="102" t="n">
        <v>2</v>
      </c>
      <c r="G19" s="95" t="n">
        <f aca="false">E19-F19</f>
        <v>0</v>
      </c>
      <c r="H19" s="96" t="n">
        <v>3</v>
      </c>
      <c r="I19" s="97" t="s">
        <v>67</v>
      </c>
      <c r="J19" s="98" t="n">
        <v>46123</v>
      </c>
      <c r="K19" s="98" t="n">
        <v>46123</v>
      </c>
      <c r="L19" s="100" t="n">
        <f aca="false">K19-J19</f>
        <v>0</v>
      </c>
      <c r="M19" s="104" t="n">
        <f aca="false">IFERROR(F19/E19,"")</f>
        <v>1</v>
      </c>
      <c r="N19" s="87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9"/>
      <c r="AK19" s="90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9"/>
      <c r="BO19" s="90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88"/>
      <c r="CC19" s="88"/>
      <c r="CD19" s="88"/>
      <c r="CE19" s="88"/>
      <c r="CF19" s="88"/>
      <c r="CG19" s="88"/>
      <c r="CH19" s="88"/>
      <c r="CI19" s="88"/>
      <c r="CJ19" s="88"/>
      <c r="CK19" s="88"/>
      <c r="CL19" s="88"/>
      <c r="CM19" s="88"/>
      <c r="CN19" s="88"/>
      <c r="CO19" s="88"/>
      <c r="CP19" s="88"/>
      <c r="CQ19" s="88"/>
      <c r="CR19" s="88"/>
      <c r="CS19" s="91"/>
      <c r="CT19" s="90"/>
      <c r="CU19" s="88"/>
      <c r="CV19" s="88"/>
      <c r="CW19" s="88"/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  <c r="DL19" s="88"/>
      <c r="DM19" s="88"/>
      <c r="DN19" s="88"/>
      <c r="DO19" s="88"/>
      <c r="DP19" s="88"/>
      <c r="DQ19" s="88"/>
      <c r="DR19" s="88"/>
      <c r="DS19" s="88"/>
      <c r="DT19" s="88"/>
      <c r="DU19" s="92"/>
      <c r="DV19" s="87"/>
      <c r="DW19" s="88"/>
      <c r="DX19" s="88"/>
      <c r="DY19" s="88"/>
      <c r="DZ19" s="88"/>
      <c r="EA19" s="88"/>
      <c r="EB19" s="88"/>
      <c r="EC19" s="88"/>
      <c r="ED19" s="89"/>
      <c r="EE19" s="90"/>
      <c r="EF19" s="88"/>
      <c r="EG19" s="88"/>
      <c r="EH19" s="88"/>
      <c r="EI19" s="88"/>
      <c r="EJ19" s="88"/>
      <c r="EK19" s="88"/>
      <c r="EL19" s="88"/>
      <c r="EM19" s="88"/>
      <c r="EN19" s="88"/>
      <c r="EO19" s="88"/>
      <c r="EP19" s="88"/>
      <c r="EQ19" s="88"/>
      <c r="ER19" s="88"/>
      <c r="ES19" s="88"/>
      <c r="ET19" s="88"/>
      <c r="EU19" s="88"/>
      <c r="EV19" s="88"/>
      <c r="EW19" s="88"/>
      <c r="EX19" s="88"/>
      <c r="EY19" s="88"/>
      <c r="EZ19" s="88"/>
      <c r="FA19" s="88"/>
      <c r="FB19" s="88"/>
      <c r="FC19" s="88"/>
      <c r="FD19" s="88"/>
      <c r="FE19" s="88"/>
      <c r="FF19" s="88"/>
      <c r="FG19" s="88"/>
      <c r="FH19" s="88"/>
      <c r="FI19" s="89"/>
      <c r="FJ19" s="90"/>
      <c r="FK19" s="88"/>
      <c r="FL19" s="88"/>
      <c r="FM19" s="88"/>
      <c r="FN19" s="88"/>
      <c r="FO19" s="88"/>
      <c r="FP19" s="88"/>
      <c r="FQ19" s="88"/>
      <c r="FR19" s="88"/>
      <c r="FS19" s="88"/>
      <c r="FT19" s="88"/>
      <c r="FU19" s="88"/>
      <c r="FV19" s="88"/>
      <c r="FW19" s="88"/>
      <c r="FX19" s="88"/>
      <c r="FY19" s="88"/>
      <c r="FZ19" s="88"/>
      <c r="GA19" s="88"/>
      <c r="GB19" s="88"/>
      <c r="GC19" s="88"/>
      <c r="GD19" s="88"/>
      <c r="GE19" s="88"/>
      <c r="GF19" s="88"/>
      <c r="GG19" s="88"/>
      <c r="GH19" s="88"/>
      <c r="GI19" s="88"/>
      <c r="GJ19" s="88"/>
      <c r="GK19" s="88"/>
      <c r="GL19" s="88"/>
      <c r="GM19" s="88"/>
      <c r="GN19" s="89"/>
      <c r="GO19" s="90"/>
      <c r="GP19" s="88"/>
      <c r="GQ19" s="88"/>
      <c r="GR19" s="88"/>
      <c r="GS19" s="88"/>
      <c r="GT19" s="88"/>
      <c r="GU19" s="88"/>
      <c r="GV19" s="88"/>
      <c r="GW19" s="88"/>
      <c r="GX19" s="88"/>
      <c r="GY19" s="88"/>
      <c r="GZ19" s="88"/>
      <c r="HA19" s="88"/>
      <c r="HB19" s="88"/>
      <c r="HC19" s="88"/>
      <c r="HD19" s="88"/>
      <c r="HE19" s="88"/>
      <c r="HF19" s="88"/>
      <c r="HG19" s="88"/>
      <c r="HH19" s="88"/>
      <c r="HI19" s="88"/>
      <c r="HJ19" s="88"/>
      <c r="HK19" s="88"/>
      <c r="HL19" s="88"/>
      <c r="HM19" s="88"/>
      <c r="HN19" s="88"/>
      <c r="HO19" s="92"/>
      <c r="HP19" s="87"/>
      <c r="HQ19" s="88"/>
      <c r="HR19" s="89"/>
      <c r="HS19" s="90"/>
      <c r="HT19" s="88"/>
      <c r="HU19" s="88"/>
      <c r="HV19" s="88"/>
      <c r="HW19" s="88"/>
      <c r="HX19" s="88"/>
      <c r="HY19" s="88"/>
      <c r="HZ19" s="88"/>
      <c r="IA19" s="88"/>
      <c r="IB19" s="88"/>
      <c r="IC19" s="88"/>
      <c r="ID19" s="88"/>
      <c r="IE19" s="88"/>
      <c r="IF19" s="88"/>
      <c r="IG19" s="88"/>
      <c r="IH19" s="88"/>
      <c r="II19" s="88"/>
      <c r="IJ19" s="88"/>
      <c r="IK19" s="88"/>
      <c r="IL19" s="88"/>
      <c r="IM19" s="88"/>
      <c r="IN19" s="88"/>
      <c r="IO19" s="88"/>
      <c r="IP19" s="88"/>
      <c r="IQ19" s="88"/>
      <c r="IR19" s="88"/>
      <c r="IS19" s="88"/>
      <c r="IT19" s="88"/>
      <c r="IU19" s="88"/>
      <c r="IV19" s="88"/>
      <c r="IW19" s="89"/>
      <c r="IX19" s="92"/>
      <c r="IY19" s="87"/>
      <c r="IZ19" s="88"/>
      <c r="JA19" s="88"/>
      <c r="JB19" s="88"/>
      <c r="JC19" s="88"/>
      <c r="JD19" s="88"/>
      <c r="JE19" s="88"/>
      <c r="JF19" s="88"/>
      <c r="JG19" s="88"/>
      <c r="JH19" s="88"/>
      <c r="JI19" s="88"/>
      <c r="JJ19" s="88"/>
      <c r="JK19" s="88"/>
      <c r="JL19" s="88"/>
      <c r="JM19" s="88"/>
      <c r="JN19" s="88"/>
      <c r="JO19" s="88"/>
      <c r="JP19" s="88"/>
      <c r="JQ19" s="88"/>
      <c r="JR19" s="88"/>
      <c r="JS19" s="88"/>
      <c r="JT19" s="88"/>
      <c r="JU19" s="88"/>
      <c r="JV19" s="88"/>
      <c r="JW19" s="88"/>
      <c r="JX19" s="88"/>
      <c r="JY19" s="88"/>
      <c r="JZ19" s="88"/>
      <c r="KA19" s="89"/>
      <c r="KB19" s="90"/>
      <c r="KC19" s="88"/>
      <c r="KD19" s="88"/>
      <c r="KE19" s="88"/>
      <c r="KF19" s="88"/>
      <c r="KG19" s="88"/>
    </row>
    <row r="20" customFormat="false" ht="22.5" hidden="false" customHeight="true" outlineLevel="1" collapsed="false">
      <c r="B20" s="75" t="s">
        <v>88</v>
      </c>
      <c r="C20" s="76" t="s">
        <v>89</v>
      </c>
      <c r="D20" s="77" t="s">
        <v>90</v>
      </c>
      <c r="E20" s="101" t="n">
        <v>4</v>
      </c>
      <c r="F20" s="102" t="n">
        <v>4</v>
      </c>
      <c r="G20" s="95" t="n">
        <f aca="false">E20-F20</f>
        <v>0</v>
      </c>
      <c r="H20" s="96" t="n">
        <v>3</v>
      </c>
      <c r="I20" s="97" t="s">
        <v>85</v>
      </c>
      <c r="J20" s="98" t="n">
        <v>46125</v>
      </c>
      <c r="K20" s="98" t="n">
        <v>46126</v>
      </c>
      <c r="L20" s="100" t="n">
        <f aca="false">K20-J20</f>
        <v>1</v>
      </c>
      <c r="M20" s="86" t="n">
        <f aca="false">IFERROR(F20/E20,"")</f>
        <v>1</v>
      </c>
      <c r="N20" s="87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9"/>
      <c r="AK20" s="90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9"/>
      <c r="BO20" s="90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88"/>
      <c r="CO20" s="88"/>
      <c r="CP20" s="88"/>
      <c r="CQ20" s="88"/>
      <c r="CR20" s="88"/>
      <c r="CS20" s="91"/>
      <c r="CT20" s="90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92"/>
      <c r="DV20" s="87"/>
      <c r="DW20" s="88"/>
      <c r="DX20" s="88"/>
      <c r="DY20" s="88"/>
      <c r="DZ20" s="88"/>
      <c r="EA20" s="88"/>
      <c r="EB20" s="88"/>
      <c r="EC20" s="88"/>
      <c r="ED20" s="89"/>
      <c r="EE20" s="90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88"/>
      <c r="EW20" s="88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9"/>
      <c r="FJ20" s="90"/>
      <c r="FK20" s="88"/>
      <c r="FL20" s="88"/>
      <c r="FM20" s="88"/>
      <c r="FN20" s="88"/>
      <c r="FO20" s="88"/>
      <c r="FP20" s="88"/>
      <c r="FQ20" s="88"/>
      <c r="FR20" s="88"/>
      <c r="FS20" s="88"/>
      <c r="FT20" s="88"/>
      <c r="FU20" s="88"/>
      <c r="FV20" s="88"/>
      <c r="FW20" s="88"/>
      <c r="FX20" s="88"/>
      <c r="FY20" s="88"/>
      <c r="FZ20" s="88"/>
      <c r="GA20" s="88"/>
      <c r="GB20" s="88"/>
      <c r="GC20" s="88"/>
      <c r="GD20" s="88"/>
      <c r="GE20" s="88"/>
      <c r="GF20" s="88"/>
      <c r="GG20" s="88"/>
      <c r="GH20" s="88"/>
      <c r="GI20" s="88"/>
      <c r="GJ20" s="88"/>
      <c r="GK20" s="88"/>
      <c r="GL20" s="88"/>
      <c r="GM20" s="88"/>
      <c r="GN20" s="89"/>
      <c r="GO20" s="90"/>
      <c r="GP20" s="88"/>
      <c r="GQ20" s="88"/>
      <c r="GR20" s="88"/>
      <c r="GS20" s="88"/>
      <c r="GT20" s="88"/>
      <c r="GU20" s="88"/>
      <c r="GV20" s="88"/>
      <c r="GW20" s="88"/>
      <c r="GX20" s="88"/>
      <c r="GY20" s="88"/>
      <c r="GZ20" s="88"/>
      <c r="HA20" s="88"/>
      <c r="HB20" s="88"/>
      <c r="HC20" s="88"/>
      <c r="HD20" s="88"/>
      <c r="HE20" s="88"/>
      <c r="HF20" s="88"/>
      <c r="HG20" s="88"/>
      <c r="HH20" s="88"/>
      <c r="HI20" s="88"/>
      <c r="HJ20" s="88"/>
      <c r="HK20" s="88"/>
      <c r="HL20" s="88"/>
      <c r="HM20" s="88"/>
      <c r="HN20" s="88"/>
      <c r="HO20" s="92"/>
      <c r="HP20" s="87"/>
      <c r="HQ20" s="88"/>
      <c r="HR20" s="89"/>
      <c r="HS20" s="90"/>
      <c r="HT20" s="88"/>
      <c r="HU20" s="88"/>
      <c r="HV20" s="88"/>
      <c r="HW20" s="88"/>
      <c r="HX20" s="88"/>
      <c r="HY20" s="88"/>
      <c r="HZ20" s="88"/>
      <c r="IA20" s="88"/>
      <c r="IB20" s="88"/>
      <c r="IC20" s="88"/>
      <c r="ID20" s="88"/>
      <c r="IE20" s="88"/>
      <c r="IF20" s="88"/>
      <c r="IG20" s="88"/>
      <c r="IH20" s="88"/>
      <c r="II20" s="88"/>
      <c r="IJ20" s="88"/>
      <c r="IK20" s="88"/>
      <c r="IL20" s="88"/>
      <c r="IM20" s="88"/>
      <c r="IN20" s="88"/>
      <c r="IO20" s="88"/>
      <c r="IP20" s="88"/>
      <c r="IQ20" s="88"/>
      <c r="IR20" s="88"/>
      <c r="IS20" s="88"/>
      <c r="IT20" s="88"/>
      <c r="IU20" s="88"/>
      <c r="IV20" s="88"/>
      <c r="IW20" s="89"/>
      <c r="IX20" s="92"/>
      <c r="IY20" s="87"/>
      <c r="IZ20" s="88"/>
      <c r="JA20" s="88"/>
      <c r="JB20" s="88"/>
      <c r="JC20" s="88"/>
      <c r="JD20" s="88"/>
      <c r="JE20" s="88"/>
      <c r="JF20" s="88"/>
      <c r="JG20" s="88"/>
      <c r="JH20" s="88"/>
      <c r="JI20" s="88"/>
      <c r="JJ20" s="88"/>
      <c r="JK20" s="88"/>
      <c r="JL20" s="88"/>
      <c r="JM20" s="88"/>
      <c r="JN20" s="88"/>
      <c r="JO20" s="88"/>
      <c r="JP20" s="88"/>
      <c r="JQ20" s="88"/>
      <c r="JR20" s="88"/>
      <c r="JS20" s="88"/>
      <c r="JT20" s="88"/>
      <c r="JU20" s="88"/>
      <c r="JV20" s="88"/>
      <c r="JW20" s="88"/>
      <c r="JX20" s="88"/>
      <c r="JY20" s="88"/>
      <c r="JZ20" s="88"/>
      <c r="KA20" s="89"/>
      <c r="KB20" s="90"/>
      <c r="KC20" s="88"/>
      <c r="KD20" s="88"/>
      <c r="KE20" s="88"/>
      <c r="KF20" s="88"/>
      <c r="KG20" s="88"/>
    </row>
    <row r="21" customFormat="false" ht="22.5" hidden="false" customHeight="true" outlineLevel="1" collapsed="false">
      <c r="B21" s="75" t="s">
        <v>91</v>
      </c>
      <c r="C21" s="76" t="s">
        <v>92</v>
      </c>
      <c r="D21" s="77" t="s">
        <v>93</v>
      </c>
      <c r="E21" s="102" t="n">
        <v>8</v>
      </c>
      <c r="F21" s="102" t="n">
        <v>8</v>
      </c>
      <c r="G21" s="95" t="n">
        <f aca="false">E21-F21</f>
        <v>0</v>
      </c>
      <c r="H21" s="105" t="n">
        <v>3</v>
      </c>
      <c r="I21" s="97" t="s">
        <v>88</v>
      </c>
      <c r="J21" s="98" t="n">
        <v>46127</v>
      </c>
      <c r="K21" s="98" t="n">
        <v>46128</v>
      </c>
      <c r="L21" s="100" t="n">
        <f aca="false">K21-J21</f>
        <v>1</v>
      </c>
      <c r="M21" s="86" t="n">
        <f aca="false">IFERROR(F21/E21,"")</f>
        <v>1</v>
      </c>
      <c r="N21" s="87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9"/>
      <c r="AK21" s="90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9"/>
      <c r="BO21" s="90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91"/>
      <c r="CT21" s="90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92"/>
      <c r="DV21" s="87"/>
      <c r="DW21" s="88"/>
      <c r="DX21" s="88"/>
      <c r="DY21" s="88"/>
      <c r="DZ21" s="88"/>
      <c r="EA21" s="88"/>
      <c r="EB21" s="88"/>
      <c r="EC21" s="88"/>
      <c r="ED21" s="89"/>
      <c r="EE21" s="90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88"/>
      <c r="EW21" s="88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9"/>
      <c r="FJ21" s="90"/>
      <c r="FK21" s="88"/>
      <c r="FL21" s="88"/>
      <c r="FM21" s="88"/>
      <c r="FN21" s="88"/>
      <c r="FO21" s="88"/>
      <c r="FP21" s="88"/>
      <c r="FQ21" s="88"/>
      <c r="FR21" s="88"/>
      <c r="FS21" s="88"/>
      <c r="FT21" s="88"/>
      <c r="FU21" s="88"/>
      <c r="FV21" s="88"/>
      <c r="FW21" s="88"/>
      <c r="FX21" s="88"/>
      <c r="FY21" s="88"/>
      <c r="FZ21" s="88"/>
      <c r="GA21" s="88"/>
      <c r="GB21" s="88"/>
      <c r="GC21" s="88"/>
      <c r="GD21" s="88"/>
      <c r="GE21" s="88"/>
      <c r="GF21" s="88"/>
      <c r="GG21" s="88"/>
      <c r="GH21" s="88"/>
      <c r="GI21" s="88"/>
      <c r="GJ21" s="88"/>
      <c r="GK21" s="88"/>
      <c r="GL21" s="88"/>
      <c r="GM21" s="88"/>
      <c r="GN21" s="89"/>
      <c r="GO21" s="90"/>
      <c r="GP21" s="88"/>
      <c r="GQ21" s="88"/>
      <c r="GR21" s="88"/>
      <c r="GS21" s="88"/>
      <c r="GT21" s="88"/>
      <c r="GU21" s="88"/>
      <c r="GV21" s="88"/>
      <c r="GW21" s="88"/>
      <c r="GX21" s="88"/>
      <c r="GY21" s="88"/>
      <c r="GZ21" s="88"/>
      <c r="HA21" s="88"/>
      <c r="HB21" s="88"/>
      <c r="HC21" s="88"/>
      <c r="HD21" s="88"/>
      <c r="HE21" s="88"/>
      <c r="HF21" s="88"/>
      <c r="HG21" s="88"/>
      <c r="HH21" s="88"/>
      <c r="HI21" s="88"/>
      <c r="HJ21" s="88"/>
      <c r="HK21" s="88"/>
      <c r="HL21" s="88"/>
      <c r="HM21" s="88"/>
      <c r="HN21" s="88"/>
      <c r="HO21" s="92"/>
      <c r="HP21" s="87"/>
      <c r="HQ21" s="88"/>
      <c r="HR21" s="89"/>
      <c r="HS21" s="90"/>
      <c r="HT21" s="88"/>
      <c r="HU21" s="88"/>
      <c r="HV21" s="88"/>
      <c r="HW21" s="88"/>
      <c r="HX21" s="88"/>
      <c r="HY21" s="88"/>
      <c r="HZ21" s="88"/>
      <c r="IA21" s="88"/>
      <c r="IB21" s="88"/>
      <c r="IC21" s="88"/>
      <c r="ID21" s="88"/>
      <c r="IE21" s="88"/>
      <c r="IF21" s="88"/>
      <c r="IG21" s="88"/>
      <c r="IH21" s="88"/>
      <c r="II21" s="88"/>
      <c r="IJ21" s="88"/>
      <c r="IK21" s="88"/>
      <c r="IL21" s="88"/>
      <c r="IM21" s="88"/>
      <c r="IN21" s="88"/>
      <c r="IO21" s="88"/>
      <c r="IP21" s="88"/>
      <c r="IQ21" s="88"/>
      <c r="IR21" s="88"/>
      <c r="IS21" s="88"/>
      <c r="IT21" s="88"/>
      <c r="IU21" s="88"/>
      <c r="IV21" s="88"/>
      <c r="IW21" s="89"/>
      <c r="IX21" s="92"/>
      <c r="IY21" s="87"/>
      <c r="IZ21" s="88"/>
      <c r="JA21" s="88"/>
      <c r="JB21" s="88"/>
      <c r="JC21" s="88"/>
      <c r="JD21" s="88"/>
      <c r="JE21" s="88"/>
      <c r="JF21" s="88"/>
      <c r="JG21" s="88"/>
      <c r="JH21" s="88"/>
      <c r="JI21" s="88"/>
      <c r="JJ21" s="88"/>
      <c r="JK21" s="88"/>
      <c r="JL21" s="88"/>
      <c r="JM21" s="88"/>
      <c r="JN21" s="88"/>
      <c r="JO21" s="88"/>
      <c r="JP21" s="88"/>
      <c r="JQ21" s="88"/>
      <c r="JR21" s="88"/>
      <c r="JS21" s="88"/>
      <c r="JT21" s="88"/>
      <c r="JU21" s="88"/>
      <c r="JV21" s="88"/>
      <c r="JW21" s="88"/>
      <c r="JX21" s="88"/>
      <c r="JY21" s="88"/>
      <c r="JZ21" s="88"/>
      <c r="KA21" s="89"/>
      <c r="KB21" s="90"/>
      <c r="KC21" s="88"/>
      <c r="KD21" s="88"/>
      <c r="KE21" s="88"/>
      <c r="KF21" s="88"/>
      <c r="KG21" s="88"/>
    </row>
    <row r="22" customFormat="false" ht="22.5" hidden="false" customHeight="true" outlineLevel="1" collapsed="false">
      <c r="B22" s="75" t="s">
        <v>94</v>
      </c>
      <c r="C22" s="76" t="s">
        <v>95</v>
      </c>
      <c r="D22" s="77" t="s">
        <v>87</v>
      </c>
      <c r="E22" s="102" t="n">
        <v>2</v>
      </c>
      <c r="F22" s="102" t="n">
        <v>2</v>
      </c>
      <c r="G22" s="95" t="n">
        <f aca="false">E22-F22</f>
        <v>0</v>
      </c>
      <c r="H22" s="105" t="n">
        <v>3</v>
      </c>
      <c r="I22" s="97" t="s">
        <v>91</v>
      </c>
      <c r="J22" s="98" t="n">
        <v>46129</v>
      </c>
      <c r="K22" s="98" t="n">
        <v>46129</v>
      </c>
      <c r="L22" s="100" t="n">
        <f aca="false">K22-J22</f>
        <v>0</v>
      </c>
      <c r="M22" s="86" t="n">
        <f aca="false">IFERROR(F22/E22,"")</f>
        <v>1</v>
      </c>
      <c r="N22" s="87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9"/>
      <c r="AK22" s="90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9"/>
      <c r="BO22" s="90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91"/>
      <c r="CT22" s="90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92"/>
      <c r="DV22" s="87"/>
      <c r="DW22" s="88"/>
      <c r="DX22" s="88"/>
      <c r="DY22" s="88"/>
      <c r="DZ22" s="88"/>
      <c r="EA22" s="88"/>
      <c r="EB22" s="88"/>
      <c r="EC22" s="88"/>
      <c r="ED22" s="89"/>
      <c r="EE22" s="90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88"/>
      <c r="EW22" s="88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9"/>
      <c r="FJ22" s="90"/>
      <c r="FK22" s="88"/>
      <c r="FL22" s="88"/>
      <c r="FM22" s="88"/>
      <c r="FN22" s="88"/>
      <c r="FO22" s="88"/>
      <c r="FP22" s="88"/>
      <c r="FQ22" s="88"/>
      <c r="FR22" s="88"/>
      <c r="FS22" s="88"/>
      <c r="FT22" s="88"/>
      <c r="FU22" s="88"/>
      <c r="FV22" s="88"/>
      <c r="FW22" s="88"/>
      <c r="FX22" s="88"/>
      <c r="FY22" s="88"/>
      <c r="FZ22" s="88"/>
      <c r="GA22" s="88"/>
      <c r="GB22" s="88"/>
      <c r="GC22" s="88"/>
      <c r="GD22" s="88"/>
      <c r="GE22" s="88"/>
      <c r="GF22" s="88"/>
      <c r="GG22" s="88"/>
      <c r="GH22" s="88"/>
      <c r="GI22" s="88"/>
      <c r="GJ22" s="88"/>
      <c r="GK22" s="88"/>
      <c r="GL22" s="88"/>
      <c r="GM22" s="88"/>
      <c r="GN22" s="89"/>
      <c r="GO22" s="90"/>
      <c r="GP22" s="88"/>
      <c r="GQ22" s="88"/>
      <c r="GR22" s="88"/>
      <c r="GS22" s="88"/>
      <c r="GT22" s="88"/>
      <c r="GU22" s="88"/>
      <c r="GV22" s="88"/>
      <c r="GW22" s="88"/>
      <c r="GX22" s="88"/>
      <c r="GY22" s="88"/>
      <c r="GZ22" s="88"/>
      <c r="HA22" s="88"/>
      <c r="HB22" s="88"/>
      <c r="HC22" s="88"/>
      <c r="HD22" s="88"/>
      <c r="HE22" s="88"/>
      <c r="HF22" s="88"/>
      <c r="HG22" s="88"/>
      <c r="HH22" s="88"/>
      <c r="HI22" s="88"/>
      <c r="HJ22" s="88"/>
      <c r="HK22" s="88"/>
      <c r="HL22" s="88"/>
      <c r="HM22" s="88"/>
      <c r="HN22" s="88"/>
      <c r="HO22" s="92"/>
      <c r="HP22" s="87"/>
      <c r="HQ22" s="88"/>
      <c r="HR22" s="89"/>
      <c r="HS22" s="90"/>
      <c r="HT22" s="88"/>
      <c r="HU22" s="88"/>
      <c r="HV22" s="88"/>
      <c r="HW22" s="88"/>
      <c r="HX22" s="88"/>
      <c r="HY22" s="88"/>
      <c r="HZ22" s="88"/>
      <c r="IA22" s="88"/>
      <c r="IB22" s="88"/>
      <c r="IC22" s="88"/>
      <c r="ID22" s="88"/>
      <c r="IE22" s="88"/>
      <c r="IF22" s="88"/>
      <c r="IG22" s="88"/>
      <c r="IH22" s="88"/>
      <c r="II22" s="88"/>
      <c r="IJ22" s="88"/>
      <c r="IK22" s="88"/>
      <c r="IL22" s="88"/>
      <c r="IM22" s="88"/>
      <c r="IN22" s="88"/>
      <c r="IO22" s="88"/>
      <c r="IP22" s="88"/>
      <c r="IQ22" s="88"/>
      <c r="IR22" s="88"/>
      <c r="IS22" s="88"/>
      <c r="IT22" s="88"/>
      <c r="IU22" s="88"/>
      <c r="IV22" s="88"/>
      <c r="IW22" s="89"/>
      <c r="IX22" s="92"/>
      <c r="IY22" s="87"/>
      <c r="IZ22" s="88"/>
      <c r="JA22" s="88"/>
      <c r="JB22" s="88"/>
      <c r="JC22" s="88"/>
      <c r="JD22" s="88"/>
      <c r="JE22" s="88"/>
      <c r="JF22" s="88"/>
      <c r="JG22" s="88"/>
      <c r="JH22" s="88"/>
      <c r="JI22" s="88"/>
      <c r="JJ22" s="88"/>
      <c r="JK22" s="88"/>
      <c r="JL22" s="88"/>
      <c r="JM22" s="88"/>
      <c r="JN22" s="88"/>
      <c r="JO22" s="88"/>
      <c r="JP22" s="88"/>
      <c r="JQ22" s="88"/>
      <c r="JR22" s="88"/>
      <c r="JS22" s="88"/>
      <c r="JT22" s="88"/>
      <c r="JU22" s="88"/>
      <c r="JV22" s="88"/>
      <c r="JW22" s="88"/>
      <c r="JX22" s="88"/>
      <c r="JY22" s="88"/>
      <c r="JZ22" s="88"/>
      <c r="KA22" s="89"/>
      <c r="KB22" s="90"/>
      <c r="KC22" s="88"/>
      <c r="KD22" s="88"/>
      <c r="KE22" s="88"/>
      <c r="KF22" s="88"/>
      <c r="KG22" s="88"/>
    </row>
    <row r="23" customFormat="false" ht="22.5" hidden="false" customHeight="true" outlineLevel="1" collapsed="false">
      <c r="B23" s="75" t="s">
        <v>96</v>
      </c>
      <c r="C23" s="76" t="s">
        <v>84</v>
      </c>
      <c r="D23" s="77" t="s">
        <v>97</v>
      </c>
      <c r="E23" s="102" t="n">
        <v>4</v>
      </c>
      <c r="F23" s="102" t="n">
        <v>4</v>
      </c>
      <c r="G23" s="95" t="n">
        <f aca="false">E23-F23</f>
        <v>0</v>
      </c>
      <c r="H23" s="105" t="n">
        <v>3</v>
      </c>
      <c r="I23" s="97" t="s">
        <v>94</v>
      </c>
      <c r="J23" s="98" t="n">
        <v>46130</v>
      </c>
      <c r="K23" s="98" t="n">
        <v>46131</v>
      </c>
      <c r="L23" s="100" t="n">
        <f aca="false">K23-J23</f>
        <v>1</v>
      </c>
      <c r="M23" s="86" t="n">
        <f aca="false">IFERROR(F23/E23,"")</f>
        <v>1</v>
      </c>
      <c r="N23" s="87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9"/>
      <c r="AK23" s="90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9"/>
      <c r="BO23" s="90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91"/>
      <c r="CT23" s="90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92"/>
      <c r="DV23" s="87"/>
      <c r="DW23" s="88"/>
      <c r="DX23" s="88"/>
      <c r="DY23" s="88"/>
      <c r="DZ23" s="88"/>
      <c r="EA23" s="88"/>
      <c r="EB23" s="88"/>
      <c r="EC23" s="88"/>
      <c r="ED23" s="89"/>
      <c r="EE23" s="90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  <c r="EW23" s="88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9"/>
      <c r="FJ23" s="90"/>
      <c r="FK23" s="88"/>
      <c r="FL23" s="88"/>
      <c r="FM23" s="88"/>
      <c r="FN23" s="88"/>
      <c r="FO23" s="88"/>
      <c r="FP23" s="88"/>
      <c r="FQ23" s="88"/>
      <c r="FR23" s="88"/>
      <c r="FS23" s="88"/>
      <c r="FT23" s="88"/>
      <c r="FU23" s="88"/>
      <c r="FV23" s="88"/>
      <c r="FW23" s="88"/>
      <c r="FX23" s="88"/>
      <c r="FY23" s="88"/>
      <c r="FZ23" s="88"/>
      <c r="GA23" s="88"/>
      <c r="GB23" s="88"/>
      <c r="GC23" s="88"/>
      <c r="GD23" s="88"/>
      <c r="GE23" s="88"/>
      <c r="GF23" s="88"/>
      <c r="GG23" s="88"/>
      <c r="GH23" s="88"/>
      <c r="GI23" s="88"/>
      <c r="GJ23" s="88"/>
      <c r="GK23" s="88"/>
      <c r="GL23" s="88"/>
      <c r="GM23" s="88"/>
      <c r="GN23" s="89"/>
      <c r="GO23" s="90"/>
      <c r="GP23" s="88"/>
      <c r="GQ23" s="88"/>
      <c r="GR23" s="88"/>
      <c r="GS23" s="88"/>
      <c r="GT23" s="88"/>
      <c r="GU23" s="88"/>
      <c r="GV23" s="88"/>
      <c r="GW23" s="88"/>
      <c r="GX23" s="88"/>
      <c r="GY23" s="88"/>
      <c r="GZ23" s="88"/>
      <c r="HA23" s="88"/>
      <c r="HB23" s="88"/>
      <c r="HC23" s="88"/>
      <c r="HD23" s="88"/>
      <c r="HE23" s="88"/>
      <c r="HF23" s="88"/>
      <c r="HG23" s="88"/>
      <c r="HH23" s="88"/>
      <c r="HI23" s="88"/>
      <c r="HJ23" s="88"/>
      <c r="HK23" s="88"/>
      <c r="HL23" s="88"/>
      <c r="HM23" s="88"/>
      <c r="HN23" s="88"/>
      <c r="HO23" s="92"/>
      <c r="HP23" s="87"/>
      <c r="HQ23" s="88"/>
      <c r="HR23" s="89"/>
      <c r="HS23" s="90"/>
      <c r="HT23" s="88"/>
      <c r="HU23" s="88"/>
      <c r="HV23" s="88"/>
      <c r="HW23" s="88"/>
      <c r="HX23" s="88"/>
      <c r="HY23" s="88"/>
      <c r="HZ23" s="88"/>
      <c r="IA23" s="88"/>
      <c r="IB23" s="88"/>
      <c r="IC23" s="88"/>
      <c r="ID23" s="88"/>
      <c r="IE23" s="88"/>
      <c r="IF23" s="88"/>
      <c r="IG23" s="88"/>
      <c r="IH23" s="88"/>
      <c r="II23" s="88"/>
      <c r="IJ23" s="88"/>
      <c r="IK23" s="88"/>
      <c r="IL23" s="88"/>
      <c r="IM23" s="88"/>
      <c r="IN23" s="88"/>
      <c r="IO23" s="88"/>
      <c r="IP23" s="88"/>
      <c r="IQ23" s="88"/>
      <c r="IR23" s="88"/>
      <c r="IS23" s="88"/>
      <c r="IT23" s="88"/>
      <c r="IU23" s="88"/>
      <c r="IV23" s="88"/>
      <c r="IW23" s="89"/>
      <c r="IX23" s="92"/>
      <c r="IY23" s="87"/>
      <c r="IZ23" s="88"/>
      <c r="JA23" s="88"/>
      <c r="JB23" s="88"/>
      <c r="JC23" s="88"/>
      <c r="JD23" s="88"/>
      <c r="JE23" s="88"/>
      <c r="JF23" s="88"/>
      <c r="JG23" s="88"/>
      <c r="JH23" s="88"/>
      <c r="JI23" s="88"/>
      <c r="JJ23" s="88"/>
      <c r="JK23" s="88"/>
      <c r="JL23" s="88"/>
      <c r="JM23" s="88"/>
      <c r="JN23" s="88"/>
      <c r="JO23" s="88"/>
      <c r="JP23" s="88"/>
      <c r="JQ23" s="88"/>
      <c r="JR23" s="88"/>
      <c r="JS23" s="88"/>
      <c r="JT23" s="88"/>
      <c r="JU23" s="88"/>
      <c r="JV23" s="88"/>
      <c r="JW23" s="88"/>
      <c r="JX23" s="88"/>
      <c r="JY23" s="88"/>
      <c r="JZ23" s="88"/>
      <c r="KA23" s="89"/>
      <c r="KB23" s="90"/>
      <c r="KC23" s="88"/>
      <c r="KD23" s="88"/>
      <c r="KE23" s="88"/>
      <c r="KF23" s="88"/>
      <c r="KG23" s="88"/>
    </row>
    <row r="24" customFormat="false" ht="22.5" hidden="false" customHeight="true" outlineLevel="1" collapsed="false">
      <c r="B24" s="75" t="s">
        <v>98</v>
      </c>
      <c r="C24" s="76" t="s">
        <v>99</v>
      </c>
      <c r="D24" s="77" t="s">
        <v>100</v>
      </c>
      <c r="E24" s="102" t="n">
        <v>3</v>
      </c>
      <c r="F24" s="102" t="n">
        <v>3</v>
      </c>
      <c r="G24" s="95" t="n">
        <f aca="false">E24-F24</f>
        <v>0</v>
      </c>
      <c r="H24" s="105" t="n">
        <v>4</v>
      </c>
      <c r="I24" s="97" t="s">
        <v>96</v>
      </c>
      <c r="J24" s="98" t="n">
        <v>46132</v>
      </c>
      <c r="K24" s="98" t="n">
        <v>46132</v>
      </c>
      <c r="L24" s="100" t="n">
        <f aca="false">K24-J24</f>
        <v>0</v>
      </c>
      <c r="M24" s="86" t="n">
        <f aca="false">IFERROR(F24/E24,"")</f>
        <v>1</v>
      </c>
      <c r="N24" s="87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9"/>
      <c r="AK24" s="90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9"/>
      <c r="BO24" s="90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88"/>
      <c r="CO24" s="88"/>
      <c r="CP24" s="88"/>
      <c r="CQ24" s="88"/>
      <c r="CR24" s="88"/>
      <c r="CS24" s="91"/>
      <c r="CT24" s="90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92"/>
      <c r="DV24" s="87"/>
      <c r="DW24" s="88"/>
      <c r="DX24" s="88"/>
      <c r="DY24" s="88"/>
      <c r="DZ24" s="88"/>
      <c r="EA24" s="88"/>
      <c r="EB24" s="88"/>
      <c r="EC24" s="88"/>
      <c r="ED24" s="89"/>
      <c r="EE24" s="90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88"/>
      <c r="EW24" s="88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9"/>
      <c r="FJ24" s="90"/>
      <c r="FK24" s="88"/>
      <c r="FL24" s="88"/>
      <c r="FM24" s="88"/>
      <c r="FN24" s="88"/>
      <c r="FO24" s="88"/>
      <c r="FP24" s="88"/>
      <c r="FQ24" s="88"/>
      <c r="FR24" s="88"/>
      <c r="FS24" s="88"/>
      <c r="FT24" s="88"/>
      <c r="FU24" s="88"/>
      <c r="FV24" s="88"/>
      <c r="FW24" s="88"/>
      <c r="FX24" s="88"/>
      <c r="FY24" s="88"/>
      <c r="FZ24" s="88"/>
      <c r="GA24" s="88"/>
      <c r="GB24" s="88"/>
      <c r="GC24" s="88"/>
      <c r="GD24" s="88"/>
      <c r="GE24" s="88"/>
      <c r="GF24" s="88"/>
      <c r="GG24" s="88"/>
      <c r="GH24" s="88"/>
      <c r="GI24" s="88"/>
      <c r="GJ24" s="88"/>
      <c r="GK24" s="88"/>
      <c r="GL24" s="88"/>
      <c r="GM24" s="88"/>
      <c r="GN24" s="89"/>
      <c r="GO24" s="90"/>
      <c r="GP24" s="88"/>
      <c r="GQ24" s="88"/>
      <c r="GR24" s="88"/>
      <c r="GS24" s="88"/>
      <c r="GT24" s="88"/>
      <c r="GU24" s="88"/>
      <c r="GV24" s="88"/>
      <c r="GW24" s="88"/>
      <c r="GX24" s="88"/>
      <c r="GY24" s="88"/>
      <c r="GZ24" s="88"/>
      <c r="HA24" s="88"/>
      <c r="HB24" s="88"/>
      <c r="HC24" s="88"/>
      <c r="HD24" s="88"/>
      <c r="HE24" s="88"/>
      <c r="HF24" s="88"/>
      <c r="HG24" s="88"/>
      <c r="HH24" s="88"/>
      <c r="HI24" s="88"/>
      <c r="HJ24" s="88"/>
      <c r="HK24" s="88"/>
      <c r="HL24" s="88"/>
      <c r="HM24" s="88"/>
      <c r="HN24" s="88"/>
      <c r="HO24" s="92"/>
      <c r="HP24" s="87"/>
      <c r="HQ24" s="88"/>
      <c r="HR24" s="89"/>
      <c r="HS24" s="90"/>
      <c r="HT24" s="88"/>
      <c r="HU24" s="88"/>
      <c r="HV24" s="88"/>
      <c r="HW24" s="88"/>
      <c r="HX24" s="88"/>
      <c r="HY24" s="88"/>
      <c r="HZ24" s="88"/>
      <c r="IA24" s="88"/>
      <c r="IB24" s="88"/>
      <c r="IC24" s="88"/>
      <c r="ID24" s="88"/>
      <c r="IE24" s="88"/>
      <c r="IF24" s="88"/>
      <c r="IG24" s="88"/>
      <c r="IH24" s="88"/>
      <c r="II24" s="88"/>
      <c r="IJ24" s="88"/>
      <c r="IK24" s="88"/>
      <c r="IL24" s="88"/>
      <c r="IM24" s="88"/>
      <c r="IN24" s="88"/>
      <c r="IO24" s="88"/>
      <c r="IP24" s="88"/>
      <c r="IQ24" s="88"/>
      <c r="IR24" s="88"/>
      <c r="IS24" s="88"/>
      <c r="IT24" s="88"/>
      <c r="IU24" s="88"/>
      <c r="IV24" s="88"/>
      <c r="IW24" s="89"/>
      <c r="IX24" s="92"/>
      <c r="IY24" s="87"/>
      <c r="IZ24" s="88"/>
      <c r="JA24" s="88"/>
      <c r="JB24" s="88"/>
      <c r="JC24" s="88"/>
      <c r="JD24" s="88"/>
      <c r="JE24" s="88"/>
      <c r="JF24" s="88"/>
      <c r="JG24" s="88"/>
      <c r="JH24" s="88"/>
      <c r="JI24" s="88"/>
      <c r="JJ24" s="88"/>
      <c r="JK24" s="88"/>
      <c r="JL24" s="88"/>
      <c r="JM24" s="88"/>
      <c r="JN24" s="88"/>
      <c r="JO24" s="88"/>
      <c r="JP24" s="88"/>
      <c r="JQ24" s="88"/>
      <c r="JR24" s="88"/>
      <c r="JS24" s="88"/>
      <c r="JT24" s="88"/>
      <c r="JU24" s="88"/>
      <c r="JV24" s="88"/>
      <c r="JW24" s="88"/>
      <c r="JX24" s="88"/>
      <c r="JY24" s="88"/>
      <c r="JZ24" s="88"/>
      <c r="KA24" s="89"/>
      <c r="KB24" s="90"/>
      <c r="KC24" s="88"/>
      <c r="KD24" s="88"/>
      <c r="KE24" s="88"/>
      <c r="KF24" s="88"/>
      <c r="KG24" s="88"/>
    </row>
    <row r="25" customFormat="false" ht="22.5" hidden="false" customHeight="true" outlineLevel="1" collapsed="false">
      <c r="B25" s="75" t="s">
        <v>101</v>
      </c>
      <c r="C25" s="76" t="s">
        <v>102</v>
      </c>
      <c r="D25" s="77" t="s">
        <v>103</v>
      </c>
      <c r="E25" s="102" t="n">
        <v>15</v>
      </c>
      <c r="F25" s="102" t="n">
        <v>15</v>
      </c>
      <c r="G25" s="95" t="n">
        <f aca="false">E25-F25</f>
        <v>0</v>
      </c>
      <c r="H25" s="105" t="n">
        <v>4</v>
      </c>
      <c r="I25" s="97" t="s">
        <v>98</v>
      </c>
      <c r="J25" s="98" t="n">
        <v>46134</v>
      </c>
      <c r="K25" s="98" t="n">
        <v>46136</v>
      </c>
      <c r="L25" s="100" t="n">
        <f aca="false">K25-J25</f>
        <v>2</v>
      </c>
      <c r="M25" s="86" t="n">
        <f aca="false">IFERROR(F25/E25,"")</f>
        <v>1</v>
      </c>
      <c r="N25" s="87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9"/>
      <c r="AK25" s="90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9"/>
      <c r="BO25" s="90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88"/>
      <c r="CQ25" s="88"/>
      <c r="CR25" s="88"/>
      <c r="CS25" s="91"/>
      <c r="CT25" s="90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92"/>
      <c r="DV25" s="87"/>
      <c r="DW25" s="88"/>
      <c r="DX25" s="88"/>
      <c r="DY25" s="88"/>
      <c r="DZ25" s="88"/>
      <c r="EA25" s="88"/>
      <c r="EB25" s="88"/>
      <c r="EC25" s="88"/>
      <c r="ED25" s="89"/>
      <c r="EE25" s="90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88"/>
      <c r="EW25" s="88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9"/>
      <c r="FJ25" s="90"/>
      <c r="FK25" s="88"/>
      <c r="FL25" s="88"/>
      <c r="FM25" s="88"/>
      <c r="FN25" s="88"/>
      <c r="FO25" s="88"/>
      <c r="FP25" s="88"/>
      <c r="FQ25" s="88"/>
      <c r="FR25" s="88"/>
      <c r="FS25" s="88"/>
      <c r="FT25" s="88"/>
      <c r="FU25" s="88"/>
      <c r="FV25" s="88"/>
      <c r="FW25" s="88"/>
      <c r="FX25" s="88"/>
      <c r="FY25" s="88"/>
      <c r="FZ25" s="88"/>
      <c r="GA25" s="88"/>
      <c r="GB25" s="88"/>
      <c r="GC25" s="88"/>
      <c r="GD25" s="88"/>
      <c r="GE25" s="88"/>
      <c r="GF25" s="88"/>
      <c r="GG25" s="88"/>
      <c r="GH25" s="88"/>
      <c r="GI25" s="88"/>
      <c r="GJ25" s="88"/>
      <c r="GK25" s="88"/>
      <c r="GL25" s="88"/>
      <c r="GM25" s="88"/>
      <c r="GN25" s="89"/>
      <c r="GO25" s="90"/>
      <c r="GP25" s="88"/>
      <c r="GQ25" s="88"/>
      <c r="GR25" s="88"/>
      <c r="GS25" s="88"/>
      <c r="GT25" s="88"/>
      <c r="GU25" s="88"/>
      <c r="GV25" s="88"/>
      <c r="GW25" s="88"/>
      <c r="GX25" s="88"/>
      <c r="GY25" s="88"/>
      <c r="GZ25" s="88"/>
      <c r="HA25" s="88"/>
      <c r="HB25" s="88"/>
      <c r="HC25" s="88"/>
      <c r="HD25" s="88"/>
      <c r="HE25" s="88"/>
      <c r="HF25" s="88"/>
      <c r="HG25" s="88"/>
      <c r="HH25" s="88"/>
      <c r="HI25" s="88"/>
      <c r="HJ25" s="88"/>
      <c r="HK25" s="88"/>
      <c r="HL25" s="88"/>
      <c r="HM25" s="88"/>
      <c r="HN25" s="88"/>
      <c r="HO25" s="92"/>
      <c r="HP25" s="87"/>
      <c r="HQ25" s="88"/>
      <c r="HR25" s="89"/>
      <c r="HS25" s="90"/>
      <c r="HT25" s="88"/>
      <c r="HU25" s="88"/>
      <c r="HV25" s="88"/>
      <c r="HW25" s="88"/>
      <c r="HX25" s="88"/>
      <c r="HY25" s="88"/>
      <c r="HZ25" s="88"/>
      <c r="IA25" s="88"/>
      <c r="IB25" s="88"/>
      <c r="IC25" s="88"/>
      <c r="ID25" s="88"/>
      <c r="IE25" s="88"/>
      <c r="IF25" s="88"/>
      <c r="IG25" s="88"/>
      <c r="IH25" s="88"/>
      <c r="II25" s="88"/>
      <c r="IJ25" s="88"/>
      <c r="IK25" s="88"/>
      <c r="IL25" s="88"/>
      <c r="IM25" s="88"/>
      <c r="IN25" s="88"/>
      <c r="IO25" s="88"/>
      <c r="IP25" s="88"/>
      <c r="IQ25" s="88"/>
      <c r="IR25" s="88"/>
      <c r="IS25" s="88"/>
      <c r="IT25" s="88"/>
      <c r="IU25" s="88"/>
      <c r="IV25" s="88"/>
      <c r="IW25" s="89"/>
      <c r="IX25" s="92"/>
      <c r="IY25" s="87"/>
      <c r="IZ25" s="88"/>
      <c r="JA25" s="88"/>
      <c r="JB25" s="88"/>
      <c r="JC25" s="88"/>
      <c r="JD25" s="88"/>
      <c r="JE25" s="88"/>
      <c r="JF25" s="88"/>
      <c r="JG25" s="88"/>
      <c r="JH25" s="88"/>
      <c r="JI25" s="88"/>
      <c r="JJ25" s="88"/>
      <c r="JK25" s="88"/>
      <c r="JL25" s="88"/>
      <c r="JM25" s="88"/>
      <c r="JN25" s="88"/>
      <c r="JO25" s="88"/>
      <c r="JP25" s="88"/>
      <c r="JQ25" s="88"/>
      <c r="JR25" s="88"/>
      <c r="JS25" s="88"/>
      <c r="JT25" s="88"/>
      <c r="JU25" s="88"/>
      <c r="JV25" s="88"/>
      <c r="JW25" s="88"/>
      <c r="JX25" s="88"/>
      <c r="JY25" s="88"/>
      <c r="JZ25" s="88"/>
      <c r="KA25" s="89"/>
      <c r="KB25" s="90"/>
      <c r="KC25" s="88"/>
      <c r="KD25" s="88"/>
      <c r="KE25" s="88"/>
      <c r="KF25" s="88"/>
      <c r="KG25" s="88"/>
    </row>
    <row r="26" customFormat="false" ht="22.5" hidden="false" customHeight="true" outlineLevel="1" collapsed="false">
      <c r="B26" s="75" t="s">
        <v>104</v>
      </c>
      <c r="C26" s="76" t="s">
        <v>105</v>
      </c>
      <c r="D26" s="77" t="s">
        <v>106</v>
      </c>
      <c r="E26" s="102" t="n">
        <v>10</v>
      </c>
      <c r="F26" s="102" t="n">
        <v>10</v>
      </c>
      <c r="G26" s="95" t="n">
        <f aca="false">E26-F26</f>
        <v>0</v>
      </c>
      <c r="H26" s="105" t="n">
        <v>4</v>
      </c>
      <c r="I26" s="97" t="s">
        <v>98</v>
      </c>
      <c r="J26" s="98" t="n">
        <v>46137</v>
      </c>
      <c r="K26" s="98" t="n">
        <v>46138</v>
      </c>
      <c r="L26" s="100" t="n">
        <f aca="false">K26-J26</f>
        <v>1</v>
      </c>
      <c r="M26" s="86" t="n">
        <f aca="false">IFERROR(F26/E26,"")</f>
        <v>1</v>
      </c>
      <c r="N26" s="87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9"/>
      <c r="AK26" s="90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9"/>
      <c r="BO26" s="90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  <c r="CB26" s="88"/>
      <c r="CC26" s="88"/>
      <c r="CD26" s="88"/>
      <c r="CE26" s="88"/>
      <c r="CF26" s="88"/>
      <c r="CG26" s="88"/>
      <c r="CH26" s="88"/>
      <c r="CI26" s="88"/>
      <c r="CJ26" s="88"/>
      <c r="CK26" s="88"/>
      <c r="CL26" s="88"/>
      <c r="CM26" s="88"/>
      <c r="CN26" s="88"/>
      <c r="CO26" s="88"/>
      <c r="CP26" s="88"/>
      <c r="CQ26" s="88"/>
      <c r="CR26" s="88"/>
      <c r="CS26" s="91"/>
      <c r="CT26" s="90"/>
      <c r="CU26" s="88"/>
      <c r="CV26" s="88"/>
      <c r="CW26" s="88"/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  <c r="DL26" s="88"/>
      <c r="DM26" s="88"/>
      <c r="DN26" s="88"/>
      <c r="DO26" s="88"/>
      <c r="DP26" s="88"/>
      <c r="DQ26" s="88"/>
      <c r="DR26" s="88"/>
      <c r="DS26" s="88"/>
      <c r="DT26" s="88"/>
      <c r="DU26" s="92"/>
      <c r="DV26" s="87"/>
      <c r="DW26" s="88"/>
      <c r="DX26" s="88"/>
      <c r="DY26" s="88"/>
      <c r="DZ26" s="88"/>
      <c r="EA26" s="88"/>
      <c r="EB26" s="88"/>
      <c r="EC26" s="88"/>
      <c r="ED26" s="89"/>
      <c r="EE26" s="90"/>
      <c r="EF26" s="88"/>
      <c r="EG26" s="88"/>
      <c r="EH26" s="88"/>
      <c r="EI26" s="88"/>
      <c r="EJ26" s="88"/>
      <c r="EK26" s="88"/>
      <c r="EL26" s="88"/>
      <c r="EM26" s="88"/>
      <c r="EN26" s="88"/>
      <c r="EO26" s="88"/>
      <c r="EP26" s="88"/>
      <c r="EQ26" s="88"/>
      <c r="ER26" s="88"/>
      <c r="ES26" s="88"/>
      <c r="ET26" s="88"/>
      <c r="EU26" s="88"/>
      <c r="EV26" s="88"/>
      <c r="EW26" s="88"/>
      <c r="EX26" s="88"/>
      <c r="EY26" s="88"/>
      <c r="EZ26" s="88"/>
      <c r="FA26" s="88"/>
      <c r="FB26" s="88"/>
      <c r="FC26" s="88"/>
      <c r="FD26" s="88"/>
      <c r="FE26" s="88"/>
      <c r="FF26" s="88"/>
      <c r="FG26" s="88"/>
      <c r="FH26" s="88"/>
      <c r="FI26" s="89"/>
      <c r="FJ26" s="90"/>
      <c r="FK26" s="88"/>
      <c r="FL26" s="88"/>
      <c r="FM26" s="88"/>
      <c r="FN26" s="88"/>
      <c r="FO26" s="88"/>
      <c r="FP26" s="88"/>
      <c r="FQ26" s="88"/>
      <c r="FR26" s="88"/>
      <c r="FS26" s="88"/>
      <c r="FT26" s="88"/>
      <c r="FU26" s="88"/>
      <c r="FV26" s="88"/>
      <c r="FW26" s="88"/>
      <c r="FX26" s="88"/>
      <c r="FY26" s="88"/>
      <c r="FZ26" s="88"/>
      <c r="GA26" s="88"/>
      <c r="GB26" s="88"/>
      <c r="GC26" s="88"/>
      <c r="GD26" s="88"/>
      <c r="GE26" s="88"/>
      <c r="GF26" s="88"/>
      <c r="GG26" s="88"/>
      <c r="GH26" s="88"/>
      <c r="GI26" s="88"/>
      <c r="GJ26" s="88"/>
      <c r="GK26" s="88"/>
      <c r="GL26" s="88"/>
      <c r="GM26" s="88"/>
      <c r="GN26" s="89"/>
      <c r="GO26" s="90"/>
      <c r="GP26" s="88"/>
      <c r="GQ26" s="88"/>
      <c r="GR26" s="88"/>
      <c r="GS26" s="88"/>
      <c r="GT26" s="88"/>
      <c r="GU26" s="88"/>
      <c r="GV26" s="88"/>
      <c r="GW26" s="88"/>
      <c r="GX26" s="88"/>
      <c r="GY26" s="88"/>
      <c r="GZ26" s="88"/>
      <c r="HA26" s="88"/>
      <c r="HB26" s="88"/>
      <c r="HC26" s="88"/>
      <c r="HD26" s="88"/>
      <c r="HE26" s="88"/>
      <c r="HF26" s="88"/>
      <c r="HG26" s="88"/>
      <c r="HH26" s="88"/>
      <c r="HI26" s="88"/>
      <c r="HJ26" s="88"/>
      <c r="HK26" s="88"/>
      <c r="HL26" s="88"/>
      <c r="HM26" s="88"/>
      <c r="HN26" s="88"/>
      <c r="HO26" s="92"/>
      <c r="HP26" s="87"/>
      <c r="HQ26" s="88"/>
      <c r="HR26" s="89"/>
      <c r="HS26" s="90"/>
      <c r="HT26" s="88"/>
      <c r="HU26" s="88"/>
      <c r="HV26" s="88"/>
      <c r="HW26" s="88"/>
      <c r="HX26" s="88"/>
      <c r="HY26" s="88"/>
      <c r="HZ26" s="88"/>
      <c r="IA26" s="88"/>
      <c r="IB26" s="88"/>
      <c r="IC26" s="88"/>
      <c r="ID26" s="88"/>
      <c r="IE26" s="88"/>
      <c r="IF26" s="88"/>
      <c r="IG26" s="88"/>
      <c r="IH26" s="88"/>
      <c r="II26" s="88"/>
      <c r="IJ26" s="88"/>
      <c r="IK26" s="88"/>
      <c r="IL26" s="88"/>
      <c r="IM26" s="88"/>
      <c r="IN26" s="88"/>
      <c r="IO26" s="88"/>
      <c r="IP26" s="88"/>
      <c r="IQ26" s="88"/>
      <c r="IR26" s="88"/>
      <c r="IS26" s="88"/>
      <c r="IT26" s="88"/>
      <c r="IU26" s="88"/>
      <c r="IV26" s="88"/>
      <c r="IW26" s="89"/>
      <c r="IX26" s="92"/>
      <c r="IY26" s="87"/>
      <c r="IZ26" s="88"/>
      <c r="JA26" s="88"/>
      <c r="JB26" s="88"/>
      <c r="JC26" s="88"/>
      <c r="JD26" s="88"/>
      <c r="JE26" s="88"/>
      <c r="JF26" s="88"/>
      <c r="JG26" s="88"/>
      <c r="JH26" s="88"/>
      <c r="JI26" s="88"/>
      <c r="JJ26" s="88"/>
      <c r="JK26" s="88"/>
      <c r="JL26" s="88"/>
      <c r="JM26" s="88"/>
      <c r="JN26" s="88"/>
      <c r="JO26" s="88"/>
      <c r="JP26" s="88"/>
      <c r="JQ26" s="88"/>
      <c r="JR26" s="88"/>
      <c r="JS26" s="88"/>
      <c r="JT26" s="88"/>
      <c r="JU26" s="88"/>
      <c r="JV26" s="88"/>
      <c r="JW26" s="88"/>
      <c r="JX26" s="88"/>
      <c r="JY26" s="88"/>
      <c r="JZ26" s="88"/>
      <c r="KA26" s="89"/>
      <c r="KB26" s="90"/>
      <c r="KC26" s="88"/>
      <c r="KD26" s="88"/>
      <c r="KE26" s="88"/>
      <c r="KF26" s="88"/>
      <c r="KG26" s="88"/>
    </row>
    <row r="27" customFormat="false" ht="22.5" hidden="false" customHeight="true" outlineLevel="1" collapsed="false">
      <c r="B27" s="75" t="s">
        <v>107</v>
      </c>
      <c r="C27" s="76" t="s">
        <v>108</v>
      </c>
      <c r="D27" s="77" t="s">
        <v>106</v>
      </c>
      <c r="E27" s="102" t="n">
        <v>3</v>
      </c>
      <c r="F27" s="102" t="n">
        <v>3</v>
      </c>
      <c r="G27" s="95" t="n">
        <f aca="false">E27-F27</f>
        <v>0</v>
      </c>
      <c r="H27" s="105" t="n">
        <v>4</v>
      </c>
      <c r="I27" s="97" t="s">
        <v>98</v>
      </c>
      <c r="J27" s="98" t="n">
        <v>46139</v>
      </c>
      <c r="K27" s="98" t="n">
        <v>46141</v>
      </c>
      <c r="L27" s="100" t="n">
        <f aca="false">K27-J27</f>
        <v>2</v>
      </c>
      <c r="M27" s="86" t="n">
        <f aca="false">IFERROR(F27/E27,"")</f>
        <v>1</v>
      </c>
      <c r="N27" s="87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9"/>
      <c r="AK27" s="90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9"/>
      <c r="BO27" s="90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88"/>
      <c r="CO27" s="88"/>
      <c r="CP27" s="88"/>
      <c r="CQ27" s="88"/>
      <c r="CR27" s="88"/>
      <c r="CS27" s="91"/>
      <c r="CT27" s="90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92"/>
      <c r="DV27" s="87"/>
      <c r="DW27" s="88"/>
      <c r="DX27" s="88"/>
      <c r="DY27" s="88"/>
      <c r="DZ27" s="88"/>
      <c r="EA27" s="88"/>
      <c r="EB27" s="88"/>
      <c r="EC27" s="88"/>
      <c r="ED27" s="89"/>
      <c r="EE27" s="90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88"/>
      <c r="EW27" s="88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9"/>
      <c r="FJ27" s="90"/>
      <c r="FK27" s="88"/>
      <c r="FL27" s="88"/>
      <c r="FM27" s="88"/>
      <c r="FN27" s="88"/>
      <c r="FO27" s="88"/>
      <c r="FP27" s="88"/>
      <c r="FQ27" s="88"/>
      <c r="FR27" s="88"/>
      <c r="FS27" s="88"/>
      <c r="FT27" s="88"/>
      <c r="FU27" s="88"/>
      <c r="FV27" s="88"/>
      <c r="FW27" s="88"/>
      <c r="FX27" s="88"/>
      <c r="FY27" s="88"/>
      <c r="FZ27" s="88"/>
      <c r="GA27" s="88"/>
      <c r="GB27" s="88"/>
      <c r="GC27" s="88"/>
      <c r="GD27" s="88"/>
      <c r="GE27" s="88"/>
      <c r="GF27" s="88"/>
      <c r="GG27" s="88"/>
      <c r="GH27" s="88"/>
      <c r="GI27" s="88"/>
      <c r="GJ27" s="88"/>
      <c r="GK27" s="88"/>
      <c r="GL27" s="88"/>
      <c r="GM27" s="88"/>
      <c r="GN27" s="89"/>
      <c r="GO27" s="90"/>
      <c r="GP27" s="88"/>
      <c r="GQ27" s="88"/>
      <c r="GR27" s="88"/>
      <c r="GS27" s="88"/>
      <c r="GT27" s="88"/>
      <c r="GU27" s="88"/>
      <c r="GV27" s="88"/>
      <c r="GW27" s="88"/>
      <c r="GX27" s="88"/>
      <c r="GY27" s="88"/>
      <c r="GZ27" s="88"/>
      <c r="HA27" s="88"/>
      <c r="HB27" s="88"/>
      <c r="HC27" s="88"/>
      <c r="HD27" s="88"/>
      <c r="HE27" s="88"/>
      <c r="HF27" s="88"/>
      <c r="HG27" s="88"/>
      <c r="HH27" s="88"/>
      <c r="HI27" s="88"/>
      <c r="HJ27" s="88"/>
      <c r="HK27" s="88"/>
      <c r="HL27" s="88"/>
      <c r="HM27" s="88"/>
      <c r="HN27" s="88"/>
      <c r="HO27" s="92"/>
      <c r="HP27" s="87"/>
      <c r="HQ27" s="88"/>
      <c r="HR27" s="89"/>
      <c r="HS27" s="90"/>
      <c r="HT27" s="88"/>
      <c r="HU27" s="88"/>
      <c r="HV27" s="88"/>
      <c r="HW27" s="88"/>
      <c r="HX27" s="88"/>
      <c r="HY27" s="88"/>
      <c r="HZ27" s="88"/>
      <c r="IA27" s="88"/>
      <c r="IB27" s="88"/>
      <c r="IC27" s="88"/>
      <c r="ID27" s="88"/>
      <c r="IE27" s="88"/>
      <c r="IF27" s="88"/>
      <c r="IG27" s="88"/>
      <c r="IH27" s="88"/>
      <c r="II27" s="88"/>
      <c r="IJ27" s="88"/>
      <c r="IK27" s="88"/>
      <c r="IL27" s="88"/>
      <c r="IM27" s="88"/>
      <c r="IN27" s="88"/>
      <c r="IO27" s="88"/>
      <c r="IP27" s="88"/>
      <c r="IQ27" s="88"/>
      <c r="IR27" s="88"/>
      <c r="IS27" s="88"/>
      <c r="IT27" s="88"/>
      <c r="IU27" s="88"/>
      <c r="IV27" s="88"/>
      <c r="IW27" s="89"/>
      <c r="IX27" s="92"/>
      <c r="IY27" s="87"/>
      <c r="IZ27" s="88"/>
      <c r="JA27" s="88"/>
      <c r="JB27" s="88"/>
      <c r="JC27" s="88"/>
      <c r="JD27" s="88"/>
      <c r="JE27" s="88"/>
      <c r="JF27" s="88"/>
      <c r="JG27" s="88"/>
      <c r="JH27" s="88"/>
      <c r="JI27" s="88"/>
      <c r="JJ27" s="88"/>
      <c r="JK27" s="88"/>
      <c r="JL27" s="88"/>
      <c r="JM27" s="88"/>
      <c r="JN27" s="88"/>
      <c r="JO27" s="88"/>
      <c r="JP27" s="88"/>
      <c r="JQ27" s="88"/>
      <c r="JR27" s="88"/>
      <c r="JS27" s="88"/>
      <c r="JT27" s="88"/>
      <c r="JU27" s="88"/>
      <c r="JV27" s="88"/>
      <c r="JW27" s="88"/>
      <c r="JX27" s="88"/>
      <c r="JY27" s="88"/>
      <c r="JZ27" s="88"/>
      <c r="KA27" s="89"/>
      <c r="KB27" s="90"/>
      <c r="KC27" s="88"/>
      <c r="KD27" s="88"/>
      <c r="KE27" s="88"/>
      <c r="KF27" s="88"/>
      <c r="KG27" s="88"/>
    </row>
    <row r="28" customFormat="false" ht="22.5" hidden="false" customHeight="true" outlineLevel="1" collapsed="false">
      <c r="B28" s="75" t="s">
        <v>109</v>
      </c>
      <c r="C28" s="76" t="s">
        <v>110</v>
      </c>
      <c r="D28" s="77" t="s">
        <v>100</v>
      </c>
      <c r="E28" s="102" t="n">
        <v>5</v>
      </c>
      <c r="F28" s="102" t="n">
        <v>5</v>
      </c>
      <c r="G28" s="95" t="n">
        <f aca="false">E28-F28</f>
        <v>0</v>
      </c>
      <c r="H28" s="105" t="n">
        <v>4</v>
      </c>
      <c r="I28" s="97" t="s">
        <v>96</v>
      </c>
      <c r="J28" s="98" t="n">
        <v>46142</v>
      </c>
      <c r="K28" s="98" t="n">
        <v>46142</v>
      </c>
      <c r="L28" s="100" t="n">
        <f aca="false">K28-J28</f>
        <v>0</v>
      </c>
      <c r="M28" s="86" t="n">
        <f aca="false">IFERROR(F28/E28,"")</f>
        <v>1</v>
      </c>
      <c r="N28" s="87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9"/>
      <c r="AK28" s="90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9"/>
      <c r="BO28" s="90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88"/>
      <c r="CO28" s="88"/>
      <c r="CP28" s="88"/>
      <c r="CQ28" s="88"/>
      <c r="CR28" s="88"/>
      <c r="CS28" s="91"/>
      <c r="CT28" s="90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92"/>
      <c r="DV28" s="87"/>
      <c r="DW28" s="88"/>
      <c r="DX28" s="88"/>
      <c r="DY28" s="88"/>
      <c r="DZ28" s="88"/>
      <c r="EA28" s="88"/>
      <c r="EB28" s="88"/>
      <c r="EC28" s="88"/>
      <c r="ED28" s="89"/>
      <c r="EE28" s="90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88"/>
      <c r="EW28" s="88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9"/>
      <c r="FJ28" s="90"/>
      <c r="FK28" s="88"/>
      <c r="FL28" s="88"/>
      <c r="FM28" s="88"/>
      <c r="FN28" s="88"/>
      <c r="FO28" s="88"/>
      <c r="FP28" s="88"/>
      <c r="FQ28" s="88"/>
      <c r="FR28" s="88"/>
      <c r="FS28" s="88"/>
      <c r="FT28" s="88"/>
      <c r="FU28" s="88"/>
      <c r="FV28" s="88"/>
      <c r="FW28" s="88"/>
      <c r="FX28" s="88"/>
      <c r="FY28" s="88"/>
      <c r="FZ28" s="88"/>
      <c r="GA28" s="88"/>
      <c r="GB28" s="88"/>
      <c r="GC28" s="88"/>
      <c r="GD28" s="88"/>
      <c r="GE28" s="88"/>
      <c r="GF28" s="88"/>
      <c r="GG28" s="88"/>
      <c r="GH28" s="88"/>
      <c r="GI28" s="88"/>
      <c r="GJ28" s="88"/>
      <c r="GK28" s="88"/>
      <c r="GL28" s="88"/>
      <c r="GM28" s="88"/>
      <c r="GN28" s="89"/>
      <c r="GO28" s="90"/>
      <c r="GP28" s="88"/>
      <c r="GQ28" s="88"/>
      <c r="GR28" s="88"/>
      <c r="GS28" s="88"/>
      <c r="GT28" s="88"/>
      <c r="GU28" s="88"/>
      <c r="GV28" s="88"/>
      <c r="GW28" s="88"/>
      <c r="GX28" s="88"/>
      <c r="GY28" s="88"/>
      <c r="GZ28" s="88"/>
      <c r="HA28" s="88"/>
      <c r="HB28" s="88"/>
      <c r="HC28" s="88"/>
      <c r="HD28" s="88"/>
      <c r="HE28" s="88"/>
      <c r="HF28" s="88"/>
      <c r="HG28" s="88"/>
      <c r="HH28" s="88"/>
      <c r="HI28" s="88"/>
      <c r="HJ28" s="88"/>
      <c r="HK28" s="88"/>
      <c r="HL28" s="88"/>
      <c r="HM28" s="88"/>
      <c r="HN28" s="88"/>
      <c r="HO28" s="92"/>
      <c r="HP28" s="87"/>
      <c r="HQ28" s="88"/>
      <c r="HR28" s="89"/>
      <c r="HS28" s="90"/>
      <c r="HT28" s="88"/>
      <c r="HU28" s="88"/>
      <c r="HV28" s="88"/>
      <c r="HW28" s="88"/>
      <c r="HX28" s="88"/>
      <c r="HY28" s="88"/>
      <c r="HZ28" s="88"/>
      <c r="IA28" s="88"/>
      <c r="IB28" s="88"/>
      <c r="IC28" s="88"/>
      <c r="ID28" s="88"/>
      <c r="IE28" s="88"/>
      <c r="IF28" s="88"/>
      <c r="IG28" s="88"/>
      <c r="IH28" s="88"/>
      <c r="II28" s="88"/>
      <c r="IJ28" s="88"/>
      <c r="IK28" s="88"/>
      <c r="IL28" s="88"/>
      <c r="IM28" s="88"/>
      <c r="IN28" s="88"/>
      <c r="IO28" s="88"/>
      <c r="IP28" s="88"/>
      <c r="IQ28" s="88"/>
      <c r="IR28" s="88"/>
      <c r="IS28" s="88"/>
      <c r="IT28" s="88"/>
      <c r="IU28" s="88"/>
      <c r="IV28" s="88"/>
      <c r="IW28" s="89"/>
      <c r="IX28" s="92"/>
      <c r="IY28" s="87"/>
      <c r="IZ28" s="88"/>
      <c r="JA28" s="88"/>
      <c r="JB28" s="88"/>
      <c r="JC28" s="88"/>
      <c r="JD28" s="88"/>
      <c r="JE28" s="88"/>
      <c r="JF28" s="88"/>
      <c r="JG28" s="88"/>
      <c r="JH28" s="88"/>
      <c r="JI28" s="88"/>
      <c r="JJ28" s="88"/>
      <c r="JK28" s="88"/>
      <c r="JL28" s="88"/>
      <c r="JM28" s="88"/>
      <c r="JN28" s="88"/>
      <c r="JO28" s="88"/>
      <c r="JP28" s="88"/>
      <c r="JQ28" s="88"/>
      <c r="JR28" s="88"/>
      <c r="JS28" s="88"/>
      <c r="JT28" s="88"/>
      <c r="JU28" s="88"/>
      <c r="JV28" s="88"/>
      <c r="JW28" s="88"/>
      <c r="JX28" s="88"/>
      <c r="JY28" s="88"/>
      <c r="JZ28" s="88"/>
      <c r="KA28" s="89"/>
      <c r="KB28" s="90"/>
      <c r="KC28" s="88"/>
      <c r="KD28" s="88"/>
      <c r="KE28" s="88"/>
      <c r="KF28" s="88"/>
      <c r="KG28" s="88"/>
    </row>
    <row r="29" customFormat="false" ht="22.5" hidden="false" customHeight="true" outlineLevel="1" collapsed="false">
      <c r="B29" s="75" t="s">
        <v>111</v>
      </c>
      <c r="C29" s="76" t="s">
        <v>112</v>
      </c>
      <c r="D29" s="77" t="s">
        <v>113</v>
      </c>
      <c r="E29" s="102" t="n">
        <v>25</v>
      </c>
      <c r="F29" s="102" t="n">
        <v>25</v>
      </c>
      <c r="G29" s="95" t="n">
        <f aca="false">E29-F29</f>
        <v>0</v>
      </c>
      <c r="H29" s="105" t="n">
        <v>4</v>
      </c>
      <c r="I29" s="97"/>
      <c r="J29" s="98" t="n">
        <v>46113</v>
      </c>
      <c r="K29" s="98" t="n">
        <v>46146</v>
      </c>
      <c r="L29" s="100" t="n">
        <f aca="false">K29-J29</f>
        <v>33</v>
      </c>
      <c r="M29" s="86" t="n">
        <f aca="false">IFERROR(F29/E29,"")</f>
        <v>1</v>
      </c>
      <c r="N29" s="87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9"/>
      <c r="AK29" s="90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9"/>
      <c r="BO29" s="90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88"/>
      <c r="CO29" s="88"/>
      <c r="CP29" s="88"/>
      <c r="CQ29" s="88"/>
      <c r="CR29" s="88"/>
      <c r="CS29" s="91"/>
      <c r="CT29" s="90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92"/>
      <c r="DV29" s="87"/>
      <c r="DW29" s="88"/>
      <c r="DX29" s="88"/>
      <c r="DY29" s="88"/>
      <c r="DZ29" s="88"/>
      <c r="EA29" s="88"/>
      <c r="EB29" s="88"/>
      <c r="EC29" s="88"/>
      <c r="ED29" s="89"/>
      <c r="EE29" s="90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88"/>
      <c r="EW29" s="88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9"/>
      <c r="FJ29" s="90"/>
      <c r="FK29" s="88"/>
      <c r="FL29" s="88"/>
      <c r="FM29" s="88"/>
      <c r="FN29" s="88"/>
      <c r="FO29" s="88"/>
      <c r="FP29" s="88"/>
      <c r="FQ29" s="88"/>
      <c r="FR29" s="88"/>
      <c r="FS29" s="88"/>
      <c r="FT29" s="88"/>
      <c r="FU29" s="88"/>
      <c r="FV29" s="88"/>
      <c r="FW29" s="88"/>
      <c r="FX29" s="88"/>
      <c r="FY29" s="88"/>
      <c r="FZ29" s="88"/>
      <c r="GA29" s="88"/>
      <c r="GB29" s="88"/>
      <c r="GC29" s="88"/>
      <c r="GD29" s="88"/>
      <c r="GE29" s="88"/>
      <c r="GF29" s="88"/>
      <c r="GG29" s="88"/>
      <c r="GH29" s="88"/>
      <c r="GI29" s="88"/>
      <c r="GJ29" s="88"/>
      <c r="GK29" s="88"/>
      <c r="GL29" s="88"/>
      <c r="GM29" s="88"/>
      <c r="GN29" s="89"/>
      <c r="GO29" s="90"/>
      <c r="GP29" s="88"/>
      <c r="GQ29" s="88"/>
      <c r="GR29" s="88"/>
      <c r="GS29" s="88"/>
      <c r="GT29" s="88"/>
      <c r="GU29" s="88"/>
      <c r="GV29" s="88"/>
      <c r="GW29" s="88"/>
      <c r="GX29" s="88"/>
      <c r="GY29" s="88"/>
      <c r="GZ29" s="88"/>
      <c r="HA29" s="88"/>
      <c r="HB29" s="88"/>
      <c r="HC29" s="88"/>
      <c r="HD29" s="88"/>
      <c r="HE29" s="88"/>
      <c r="HF29" s="88"/>
      <c r="HG29" s="88"/>
      <c r="HH29" s="88"/>
      <c r="HI29" s="88"/>
      <c r="HJ29" s="88"/>
      <c r="HK29" s="88"/>
      <c r="HL29" s="88"/>
      <c r="HM29" s="88"/>
      <c r="HN29" s="88"/>
      <c r="HO29" s="92"/>
      <c r="HP29" s="87"/>
      <c r="HQ29" s="88"/>
      <c r="HR29" s="89"/>
      <c r="HS29" s="90"/>
      <c r="HT29" s="88"/>
      <c r="HU29" s="88"/>
      <c r="HV29" s="88"/>
      <c r="HW29" s="88"/>
      <c r="HX29" s="88"/>
      <c r="HY29" s="88"/>
      <c r="HZ29" s="88"/>
      <c r="IA29" s="88"/>
      <c r="IB29" s="88"/>
      <c r="IC29" s="88"/>
      <c r="ID29" s="88"/>
      <c r="IE29" s="88"/>
      <c r="IF29" s="88"/>
      <c r="IG29" s="88"/>
      <c r="IH29" s="88"/>
      <c r="II29" s="88"/>
      <c r="IJ29" s="88"/>
      <c r="IK29" s="88"/>
      <c r="IL29" s="88"/>
      <c r="IM29" s="88"/>
      <c r="IN29" s="88"/>
      <c r="IO29" s="88"/>
      <c r="IP29" s="88"/>
      <c r="IQ29" s="88"/>
      <c r="IR29" s="88"/>
      <c r="IS29" s="88"/>
      <c r="IT29" s="88"/>
      <c r="IU29" s="88"/>
      <c r="IV29" s="88"/>
      <c r="IW29" s="89"/>
      <c r="IX29" s="92"/>
      <c r="IY29" s="87"/>
      <c r="IZ29" s="88"/>
      <c r="JA29" s="88"/>
      <c r="JB29" s="88"/>
      <c r="JC29" s="88"/>
      <c r="JD29" s="88"/>
      <c r="JE29" s="88"/>
      <c r="JF29" s="88"/>
      <c r="JG29" s="88"/>
      <c r="JH29" s="88"/>
      <c r="JI29" s="88"/>
      <c r="JJ29" s="88"/>
      <c r="JK29" s="88"/>
      <c r="JL29" s="88"/>
      <c r="JM29" s="88"/>
      <c r="JN29" s="88"/>
      <c r="JO29" s="88"/>
      <c r="JP29" s="88"/>
      <c r="JQ29" s="88"/>
      <c r="JR29" s="88"/>
      <c r="JS29" s="88"/>
      <c r="JT29" s="88"/>
      <c r="JU29" s="88"/>
      <c r="JV29" s="88"/>
      <c r="JW29" s="88"/>
      <c r="JX29" s="88"/>
      <c r="JY29" s="88"/>
      <c r="JZ29" s="88"/>
      <c r="KA29" s="89"/>
      <c r="KB29" s="90"/>
      <c r="KC29" s="88"/>
      <c r="KD29" s="88"/>
      <c r="KE29" s="88"/>
      <c r="KF29" s="88"/>
      <c r="KG29" s="88"/>
    </row>
    <row r="30" customFormat="false" ht="22.5" hidden="false" customHeight="true" outlineLevel="1" collapsed="false">
      <c r="B30" s="75" t="s">
        <v>114</v>
      </c>
      <c r="C30" s="76" t="s">
        <v>115</v>
      </c>
      <c r="D30" s="77" t="s">
        <v>116</v>
      </c>
      <c r="E30" s="102" t="n">
        <v>8</v>
      </c>
      <c r="F30" s="102" t="n">
        <v>8</v>
      </c>
      <c r="G30" s="95" t="n">
        <f aca="false">E30-F30</f>
        <v>0</v>
      </c>
      <c r="H30" s="105" t="n">
        <v>5</v>
      </c>
      <c r="I30" s="97" t="s">
        <v>111</v>
      </c>
      <c r="J30" s="98" t="n">
        <v>46146</v>
      </c>
      <c r="K30" s="98" t="n">
        <v>46148</v>
      </c>
      <c r="L30" s="100" t="n">
        <f aca="false">K30-J30</f>
        <v>2</v>
      </c>
      <c r="M30" s="86" t="n">
        <f aca="false">IFERROR(F30/E30,"")</f>
        <v>1</v>
      </c>
      <c r="N30" s="87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9"/>
      <c r="AK30" s="90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9"/>
      <c r="BO30" s="90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91"/>
      <c r="CT30" s="90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92"/>
      <c r="DV30" s="87"/>
      <c r="DW30" s="88"/>
      <c r="DX30" s="88"/>
      <c r="DY30" s="88"/>
      <c r="DZ30" s="88"/>
      <c r="EA30" s="88"/>
      <c r="EB30" s="88"/>
      <c r="EC30" s="88"/>
      <c r="ED30" s="89"/>
      <c r="EE30" s="90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88"/>
      <c r="EW30" s="88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9"/>
      <c r="FJ30" s="90"/>
      <c r="FK30" s="88"/>
      <c r="FL30" s="88"/>
      <c r="FM30" s="88"/>
      <c r="FN30" s="88"/>
      <c r="FO30" s="88"/>
      <c r="FP30" s="88"/>
      <c r="FQ30" s="88"/>
      <c r="FR30" s="88"/>
      <c r="FS30" s="88"/>
      <c r="FT30" s="88"/>
      <c r="FU30" s="88"/>
      <c r="FV30" s="88"/>
      <c r="FW30" s="88"/>
      <c r="FX30" s="88"/>
      <c r="FY30" s="88"/>
      <c r="FZ30" s="88"/>
      <c r="GA30" s="88"/>
      <c r="GB30" s="88"/>
      <c r="GC30" s="88"/>
      <c r="GD30" s="88"/>
      <c r="GE30" s="88"/>
      <c r="GF30" s="88"/>
      <c r="GG30" s="88"/>
      <c r="GH30" s="88"/>
      <c r="GI30" s="88"/>
      <c r="GJ30" s="88"/>
      <c r="GK30" s="88"/>
      <c r="GL30" s="88"/>
      <c r="GM30" s="88"/>
      <c r="GN30" s="89"/>
      <c r="GO30" s="90"/>
      <c r="GP30" s="88"/>
      <c r="GQ30" s="88"/>
      <c r="GR30" s="88"/>
      <c r="GS30" s="88"/>
      <c r="GT30" s="88"/>
      <c r="GU30" s="88"/>
      <c r="GV30" s="88"/>
      <c r="GW30" s="88"/>
      <c r="GX30" s="88"/>
      <c r="GY30" s="88"/>
      <c r="GZ30" s="88"/>
      <c r="HA30" s="88"/>
      <c r="HB30" s="88"/>
      <c r="HC30" s="88"/>
      <c r="HD30" s="88"/>
      <c r="HE30" s="88"/>
      <c r="HF30" s="88"/>
      <c r="HG30" s="88"/>
      <c r="HH30" s="88"/>
      <c r="HI30" s="88"/>
      <c r="HJ30" s="88"/>
      <c r="HK30" s="88"/>
      <c r="HL30" s="88"/>
      <c r="HM30" s="88"/>
      <c r="HN30" s="88"/>
      <c r="HO30" s="92"/>
      <c r="HP30" s="87"/>
      <c r="HQ30" s="88"/>
      <c r="HR30" s="89"/>
      <c r="HS30" s="90"/>
      <c r="HT30" s="88"/>
      <c r="HU30" s="88"/>
      <c r="HV30" s="88"/>
      <c r="HW30" s="88"/>
      <c r="HX30" s="88"/>
      <c r="HY30" s="88"/>
      <c r="HZ30" s="88"/>
      <c r="IA30" s="88"/>
      <c r="IB30" s="88"/>
      <c r="IC30" s="88"/>
      <c r="ID30" s="88"/>
      <c r="IE30" s="88"/>
      <c r="IF30" s="88"/>
      <c r="IG30" s="88"/>
      <c r="IH30" s="88"/>
      <c r="II30" s="88"/>
      <c r="IJ30" s="88"/>
      <c r="IK30" s="88"/>
      <c r="IL30" s="88"/>
      <c r="IM30" s="88"/>
      <c r="IN30" s="88"/>
      <c r="IO30" s="88"/>
      <c r="IP30" s="88"/>
      <c r="IQ30" s="88"/>
      <c r="IR30" s="88"/>
      <c r="IS30" s="88"/>
      <c r="IT30" s="88"/>
      <c r="IU30" s="88"/>
      <c r="IV30" s="88"/>
      <c r="IW30" s="89"/>
      <c r="IX30" s="92"/>
      <c r="IY30" s="87"/>
      <c r="IZ30" s="88"/>
      <c r="JA30" s="88"/>
      <c r="JB30" s="88"/>
      <c r="JC30" s="88"/>
      <c r="JD30" s="88"/>
      <c r="JE30" s="88"/>
      <c r="JF30" s="88"/>
      <c r="JG30" s="88"/>
      <c r="JH30" s="88"/>
      <c r="JI30" s="88"/>
      <c r="JJ30" s="88"/>
      <c r="JK30" s="88"/>
      <c r="JL30" s="88"/>
      <c r="JM30" s="88"/>
      <c r="JN30" s="88"/>
      <c r="JO30" s="88"/>
      <c r="JP30" s="88"/>
      <c r="JQ30" s="88"/>
      <c r="JR30" s="88"/>
      <c r="JS30" s="88"/>
      <c r="JT30" s="88"/>
      <c r="JU30" s="88"/>
      <c r="JV30" s="88"/>
      <c r="JW30" s="88"/>
      <c r="JX30" s="88"/>
      <c r="JY30" s="88"/>
      <c r="JZ30" s="88"/>
      <c r="KA30" s="89"/>
      <c r="KB30" s="90"/>
      <c r="KC30" s="88"/>
      <c r="KD30" s="88"/>
      <c r="KE30" s="88"/>
      <c r="KF30" s="88"/>
      <c r="KG30" s="88"/>
    </row>
    <row r="31" customFormat="false" ht="22.5" hidden="false" customHeight="true" outlineLevel="1" collapsed="false">
      <c r="B31" s="75" t="s">
        <v>117</v>
      </c>
      <c r="C31" s="76" t="s">
        <v>118</v>
      </c>
      <c r="D31" s="77" t="s">
        <v>116</v>
      </c>
      <c r="E31" s="102" t="n">
        <v>3</v>
      </c>
      <c r="F31" s="102" t="n">
        <v>3</v>
      </c>
      <c r="G31" s="95" t="n">
        <f aca="false">E31-F31</f>
        <v>0</v>
      </c>
      <c r="H31" s="105" t="n">
        <v>5</v>
      </c>
      <c r="I31" s="97" t="s">
        <v>114</v>
      </c>
      <c r="J31" s="98" t="n">
        <v>46150</v>
      </c>
      <c r="K31" s="98" t="n">
        <v>46150</v>
      </c>
      <c r="L31" s="100" t="n">
        <f aca="false">K31-J31</f>
        <v>0</v>
      </c>
      <c r="M31" s="86" t="n">
        <f aca="false">IFERROR(F31/E31,"")</f>
        <v>1</v>
      </c>
      <c r="N31" s="87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9"/>
      <c r="AK31" s="90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9"/>
      <c r="BO31" s="90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88"/>
      <c r="CO31" s="88"/>
      <c r="CP31" s="88"/>
      <c r="CQ31" s="88"/>
      <c r="CR31" s="88"/>
      <c r="CS31" s="91"/>
      <c r="CT31" s="90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92"/>
      <c r="DV31" s="87"/>
      <c r="DW31" s="88"/>
      <c r="DX31" s="88"/>
      <c r="DY31" s="88"/>
      <c r="DZ31" s="88"/>
      <c r="EA31" s="88"/>
      <c r="EB31" s="88"/>
      <c r="EC31" s="88"/>
      <c r="ED31" s="89"/>
      <c r="EE31" s="90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88"/>
      <c r="EW31" s="88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9"/>
      <c r="FJ31" s="90"/>
      <c r="FK31" s="88"/>
      <c r="FL31" s="88"/>
      <c r="FM31" s="88"/>
      <c r="FN31" s="88"/>
      <c r="FO31" s="88"/>
      <c r="FP31" s="88"/>
      <c r="FQ31" s="88"/>
      <c r="FR31" s="88"/>
      <c r="FS31" s="88"/>
      <c r="FT31" s="88"/>
      <c r="FU31" s="88"/>
      <c r="FV31" s="88"/>
      <c r="FW31" s="88"/>
      <c r="FX31" s="88"/>
      <c r="FY31" s="88"/>
      <c r="FZ31" s="88"/>
      <c r="GA31" s="88"/>
      <c r="GB31" s="88"/>
      <c r="GC31" s="88"/>
      <c r="GD31" s="88"/>
      <c r="GE31" s="88"/>
      <c r="GF31" s="88"/>
      <c r="GG31" s="88"/>
      <c r="GH31" s="88"/>
      <c r="GI31" s="88"/>
      <c r="GJ31" s="88"/>
      <c r="GK31" s="88"/>
      <c r="GL31" s="88"/>
      <c r="GM31" s="88"/>
      <c r="GN31" s="89"/>
      <c r="GO31" s="90"/>
      <c r="GP31" s="88"/>
      <c r="GQ31" s="88"/>
      <c r="GR31" s="88"/>
      <c r="GS31" s="88"/>
      <c r="GT31" s="88"/>
      <c r="GU31" s="88"/>
      <c r="GV31" s="88"/>
      <c r="GW31" s="88"/>
      <c r="GX31" s="88"/>
      <c r="GY31" s="88"/>
      <c r="GZ31" s="88"/>
      <c r="HA31" s="88"/>
      <c r="HB31" s="88"/>
      <c r="HC31" s="88"/>
      <c r="HD31" s="88"/>
      <c r="HE31" s="88"/>
      <c r="HF31" s="88"/>
      <c r="HG31" s="88"/>
      <c r="HH31" s="88"/>
      <c r="HI31" s="88"/>
      <c r="HJ31" s="88"/>
      <c r="HK31" s="88"/>
      <c r="HL31" s="88"/>
      <c r="HM31" s="88"/>
      <c r="HN31" s="88"/>
      <c r="HO31" s="92"/>
      <c r="HP31" s="87"/>
      <c r="HQ31" s="88"/>
      <c r="HR31" s="89"/>
      <c r="HS31" s="90"/>
      <c r="HT31" s="88"/>
      <c r="HU31" s="88"/>
      <c r="HV31" s="88"/>
      <c r="HW31" s="88"/>
      <c r="HX31" s="88"/>
      <c r="HY31" s="88"/>
      <c r="HZ31" s="88"/>
      <c r="IA31" s="88"/>
      <c r="IB31" s="88"/>
      <c r="IC31" s="88"/>
      <c r="ID31" s="88"/>
      <c r="IE31" s="88"/>
      <c r="IF31" s="88"/>
      <c r="IG31" s="88"/>
      <c r="IH31" s="88"/>
      <c r="II31" s="88"/>
      <c r="IJ31" s="88"/>
      <c r="IK31" s="88"/>
      <c r="IL31" s="88"/>
      <c r="IM31" s="88"/>
      <c r="IN31" s="88"/>
      <c r="IO31" s="88"/>
      <c r="IP31" s="88"/>
      <c r="IQ31" s="88"/>
      <c r="IR31" s="88"/>
      <c r="IS31" s="88"/>
      <c r="IT31" s="88"/>
      <c r="IU31" s="88"/>
      <c r="IV31" s="88"/>
      <c r="IW31" s="89"/>
      <c r="IX31" s="92"/>
      <c r="IY31" s="87"/>
      <c r="IZ31" s="88"/>
      <c r="JA31" s="88"/>
      <c r="JB31" s="88"/>
      <c r="JC31" s="88"/>
      <c r="JD31" s="88"/>
      <c r="JE31" s="88"/>
      <c r="JF31" s="88"/>
      <c r="JG31" s="88"/>
      <c r="JH31" s="88"/>
      <c r="JI31" s="88"/>
      <c r="JJ31" s="88"/>
      <c r="JK31" s="88"/>
      <c r="JL31" s="88"/>
      <c r="JM31" s="88"/>
      <c r="JN31" s="88"/>
      <c r="JO31" s="88"/>
      <c r="JP31" s="88"/>
      <c r="JQ31" s="88"/>
      <c r="JR31" s="88"/>
      <c r="JS31" s="88"/>
      <c r="JT31" s="88"/>
      <c r="JU31" s="88"/>
      <c r="JV31" s="88"/>
      <c r="JW31" s="88"/>
      <c r="JX31" s="88"/>
      <c r="JY31" s="88"/>
      <c r="JZ31" s="88"/>
      <c r="KA31" s="89"/>
      <c r="KB31" s="90"/>
      <c r="KC31" s="88"/>
      <c r="KD31" s="88"/>
      <c r="KE31" s="88"/>
      <c r="KF31" s="88"/>
      <c r="KG31" s="88"/>
    </row>
    <row r="32" customFormat="false" ht="22.5" hidden="false" customHeight="true" outlineLevel="1" collapsed="false">
      <c r="B32" s="106" t="s">
        <v>119</v>
      </c>
      <c r="C32" s="76" t="s">
        <v>120</v>
      </c>
      <c r="D32" s="107" t="s">
        <v>100</v>
      </c>
      <c r="E32" s="108" t="n">
        <v>2</v>
      </c>
      <c r="F32" s="108" t="n">
        <v>2</v>
      </c>
      <c r="G32" s="109" t="n">
        <f aca="false">E32-F32</f>
        <v>0</v>
      </c>
      <c r="H32" s="110" t="n">
        <v>5</v>
      </c>
      <c r="I32" s="97" t="s">
        <v>117</v>
      </c>
      <c r="J32" s="98" t="n">
        <v>46151</v>
      </c>
      <c r="K32" s="98" t="n">
        <v>46152</v>
      </c>
      <c r="L32" s="111" t="n">
        <f aca="false">K32-J32</f>
        <v>1</v>
      </c>
      <c r="M32" s="112" t="n">
        <f aca="false">IFERROR(F32/E32,"")</f>
        <v>1</v>
      </c>
      <c r="N32" s="87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9"/>
      <c r="AK32" s="90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9"/>
      <c r="BO32" s="90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88"/>
      <c r="CO32" s="88"/>
      <c r="CP32" s="88"/>
      <c r="CQ32" s="88"/>
      <c r="CR32" s="88"/>
      <c r="CS32" s="91"/>
      <c r="CT32" s="90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92"/>
      <c r="DV32" s="87"/>
      <c r="DW32" s="88"/>
      <c r="DX32" s="88"/>
      <c r="DY32" s="88"/>
      <c r="DZ32" s="88"/>
      <c r="EA32" s="88"/>
      <c r="EB32" s="88"/>
      <c r="EC32" s="88"/>
      <c r="ED32" s="89"/>
      <c r="EE32" s="90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88"/>
      <c r="EW32" s="88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9"/>
      <c r="FJ32" s="90"/>
      <c r="FK32" s="88"/>
      <c r="FL32" s="88"/>
      <c r="FM32" s="88"/>
      <c r="FN32" s="88"/>
      <c r="FO32" s="88"/>
      <c r="FP32" s="88"/>
      <c r="FQ32" s="88"/>
      <c r="FR32" s="88"/>
      <c r="FS32" s="88"/>
      <c r="FT32" s="88"/>
      <c r="FU32" s="88"/>
      <c r="FV32" s="88"/>
      <c r="FW32" s="88"/>
      <c r="FX32" s="88"/>
      <c r="FY32" s="88"/>
      <c r="FZ32" s="88"/>
      <c r="GA32" s="88"/>
      <c r="GB32" s="88"/>
      <c r="GC32" s="88"/>
      <c r="GD32" s="88"/>
      <c r="GE32" s="88"/>
      <c r="GF32" s="88"/>
      <c r="GG32" s="88"/>
      <c r="GH32" s="88"/>
      <c r="GI32" s="88"/>
      <c r="GJ32" s="88"/>
      <c r="GK32" s="88"/>
      <c r="GL32" s="88"/>
      <c r="GM32" s="88"/>
      <c r="GN32" s="89"/>
      <c r="GO32" s="90"/>
      <c r="GP32" s="88"/>
      <c r="GQ32" s="88"/>
      <c r="GR32" s="88"/>
      <c r="GS32" s="88"/>
      <c r="GT32" s="88"/>
      <c r="GU32" s="88"/>
      <c r="GV32" s="88"/>
      <c r="GW32" s="88"/>
      <c r="GX32" s="88"/>
      <c r="GY32" s="88"/>
      <c r="GZ32" s="88"/>
      <c r="HA32" s="88"/>
      <c r="HB32" s="88"/>
      <c r="HC32" s="88"/>
      <c r="HD32" s="88"/>
      <c r="HE32" s="88"/>
      <c r="HF32" s="88"/>
      <c r="HG32" s="88"/>
      <c r="HH32" s="88"/>
      <c r="HI32" s="88"/>
      <c r="HJ32" s="88"/>
      <c r="HK32" s="88"/>
      <c r="HL32" s="88"/>
      <c r="HM32" s="88"/>
      <c r="HN32" s="88"/>
      <c r="HO32" s="92"/>
      <c r="HP32" s="87"/>
      <c r="HQ32" s="88"/>
      <c r="HR32" s="89"/>
      <c r="HS32" s="90"/>
      <c r="HT32" s="88"/>
      <c r="HU32" s="88"/>
      <c r="HV32" s="88"/>
      <c r="HW32" s="88"/>
      <c r="HX32" s="88"/>
      <c r="HY32" s="88"/>
      <c r="HZ32" s="88"/>
      <c r="IA32" s="88"/>
      <c r="IB32" s="88"/>
      <c r="IC32" s="88"/>
      <c r="ID32" s="88"/>
      <c r="IE32" s="88"/>
      <c r="IF32" s="88"/>
      <c r="IG32" s="88"/>
      <c r="IH32" s="88"/>
      <c r="II32" s="88"/>
      <c r="IJ32" s="88"/>
      <c r="IK32" s="88"/>
      <c r="IL32" s="88"/>
      <c r="IM32" s="88"/>
      <c r="IN32" s="88"/>
      <c r="IO32" s="88"/>
      <c r="IP32" s="88"/>
      <c r="IQ32" s="88"/>
      <c r="IR32" s="88"/>
      <c r="IS32" s="88"/>
      <c r="IT32" s="88"/>
      <c r="IU32" s="88"/>
      <c r="IV32" s="88"/>
      <c r="IW32" s="89"/>
      <c r="IX32" s="92"/>
      <c r="IY32" s="87"/>
      <c r="IZ32" s="88"/>
      <c r="JA32" s="88"/>
      <c r="JB32" s="88"/>
      <c r="JC32" s="88"/>
      <c r="JD32" s="88"/>
      <c r="JE32" s="88"/>
      <c r="JF32" s="88"/>
      <c r="JG32" s="88"/>
      <c r="JH32" s="88"/>
      <c r="JI32" s="88"/>
      <c r="JJ32" s="88"/>
      <c r="JK32" s="88"/>
      <c r="JL32" s="88"/>
      <c r="JM32" s="88"/>
      <c r="JN32" s="88"/>
      <c r="JO32" s="88"/>
      <c r="JP32" s="88"/>
      <c r="JQ32" s="88"/>
      <c r="JR32" s="88"/>
      <c r="JS32" s="88"/>
      <c r="JT32" s="88"/>
      <c r="JU32" s="88"/>
      <c r="JV32" s="88"/>
      <c r="JW32" s="88"/>
      <c r="JX32" s="88"/>
      <c r="JY32" s="88"/>
      <c r="JZ32" s="88"/>
      <c r="KA32" s="89"/>
      <c r="KB32" s="90"/>
      <c r="KC32" s="88"/>
      <c r="KD32" s="88"/>
      <c r="KE32" s="88"/>
      <c r="KF32" s="88"/>
      <c r="KG32" s="88"/>
    </row>
    <row r="33" customFormat="false" ht="22.5" hidden="false" customHeight="true" outlineLevel="0" collapsed="false">
      <c r="B33" s="113" t="n">
        <v>2</v>
      </c>
      <c r="C33" s="114" t="s">
        <v>121</v>
      </c>
      <c r="D33" s="58"/>
      <c r="E33" s="115"/>
      <c r="F33" s="116"/>
      <c r="G33" s="117"/>
      <c r="H33" s="118"/>
      <c r="I33" s="119"/>
      <c r="J33" s="120"/>
      <c r="K33" s="121"/>
      <c r="L33" s="66"/>
      <c r="M33" s="67" t="n">
        <f aca="false">IFERROR($F$185/$E$185,"")</f>
        <v>1</v>
      </c>
      <c r="N33" s="68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3"/>
      <c r="AK33" s="73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3"/>
      <c r="BO33" s="73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4"/>
      <c r="CT33" s="73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5"/>
      <c r="DV33" s="68"/>
      <c r="DW33" s="122"/>
      <c r="DX33" s="122"/>
      <c r="DY33" s="122"/>
      <c r="DZ33" s="122"/>
      <c r="EA33" s="122"/>
      <c r="EB33" s="122"/>
      <c r="EC33" s="122"/>
      <c r="ED33" s="123"/>
      <c r="EE33" s="73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3"/>
      <c r="FJ33" s="73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3"/>
      <c r="GO33" s="73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5"/>
      <c r="HP33" s="68"/>
      <c r="HQ33" s="122"/>
      <c r="HR33" s="123"/>
      <c r="HS33" s="73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22"/>
      <c r="IQ33" s="122"/>
      <c r="IR33" s="122"/>
      <c r="IS33" s="122"/>
      <c r="IT33" s="122"/>
      <c r="IU33" s="122"/>
      <c r="IV33" s="122"/>
      <c r="IW33" s="123"/>
      <c r="IX33" s="125"/>
      <c r="IY33" s="68"/>
      <c r="IZ33" s="122"/>
      <c r="JA33" s="122"/>
      <c r="JB33" s="122"/>
      <c r="JC33" s="122"/>
      <c r="JD33" s="122"/>
      <c r="JE33" s="122"/>
      <c r="JF33" s="122"/>
      <c r="JG33" s="122"/>
      <c r="JH33" s="122"/>
      <c r="JI33" s="122"/>
      <c r="JJ33" s="122"/>
      <c r="JK33" s="122"/>
      <c r="JL33" s="122"/>
      <c r="JM33" s="122"/>
      <c r="JN33" s="122"/>
      <c r="JO33" s="122"/>
      <c r="JP33" s="122"/>
      <c r="JQ33" s="122"/>
      <c r="JR33" s="122"/>
      <c r="JS33" s="122"/>
      <c r="JT33" s="122"/>
      <c r="JU33" s="122"/>
      <c r="JV33" s="122"/>
      <c r="JW33" s="122"/>
      <c r="JX33" s="122"/>
      <c r="JY33" s="122"/>
      <c r="JZ33" s="122"/>
      <c r="KA33" s="123"/>
      <c r="KB33" s="73"/>
      <c r="KC33" s="122"/>
      <c r="KD33" s="122"/>
      <c r="KE33" s="122"/>
      <c r="KF33" s="122"/>
      <c r="KG33" s="122"/>
    </row>
    <row r="34" customFormat="false" ht="22.5" hidden="false" customHeight="true" outlineLevel="1" collapsed="false">
      <c r="B34" s="75" t="n">
        <v>2.1</v>
      </c>
      <c r="C34" s="126" t="s">
        <v>122</v>
      </c>
      <c r="D34" s="127" t="s">
        <v>113</v>
      </c>
      <c r="E34" s="128" t="n">
        <v>8</v>
      </c>
      <c r="F34" s="129" t="n">
        <v>8</v>
      </c>
      <c r="G34" s="130" t="n">
        <f aca="false">E34-F34</f>
        <v>0</v>
      </c>
      <c r="H34" s="131" t="n">
        <v>1</v>
      </c>
      <c r="I34" s="132"/>
      <c r="J34" s="133" t="n">
        <v>46154</v>
      </c>
      <c r="K34" s="134" t="n">
        <v>46156</v>
      </c>
      <c r="L34" s="135" t="n">
        <f aca="false">K34-J34</f>
        <v>2</v>
      </c>
      <c r="M34" s="136" t="n">
        <f aca="false">IFERROR(F34/E34,"")</f>
        <v>1</v>
      </c>
      <c r="N34" s="87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9"/>
      <c r="AK34" s="90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9"/>
      <c r="BO34" s="90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91"/>
      <c r="CT34" s="90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92"/>
      <c r="DV34" s="87"/>
      <c r="DW34" s="88"/>
      <c r="DX34" s="88"/>
      <c r="DY34" s="88"/>
      <c r="DZ34" s="88"/>
      <c r="EA34" s="88"/>
      <c r="EB34" s="88"/>
      <c r="EC34" s="88"/>
      <c r="ED34" s="89"/>
      <c r="EE34" s="90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88"/>
      <c r="EW34" s="88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9"/>
      <c r="FJ34" s="90"/>
      <c r="FK34" s="88"/>
      <c r="FL34" s="88"/>
      <c r="FM34" s="88"/>
      <c r="FN34" s="88"/>
      <c r="FO34" s="88"/>
      <c r="FP34" s="88"/>
      <c r="FQ34" s="88"/>
      <c r="FR34" s="88"/>
      <c r="FS34" s="88"/>
      <c r="FT34" s="88"/>
      <c r="FU34" s="88"/>
      <c r="FV34" s="88"/>
      <c r="FW34" s="88"/>
      <c r="FX34" s="88"/>
      <c r="FY34" s="88"/>
      <c r="FZ34" s="88"/>
      <c r="GA34" s="88"/>
      <c r="GB34" s="88"/>
      <c r="GC34" s="88"/>
      <c r="GD34" s="88"/>
      <c r="GE34" s="88"/>
      <c r="GF34" s="88"/>
      <c r="GG34" s="88"/>
      <c r="GH34" s="88"/>
      <c r="GI34" s="88"/>
      <c r="GJ34" s="88"/>
      <c r="GK34" s="88"/>
      <c r="GL34" s="88"/>
      <c r="GM34" s="88"/>
      <c r="GN34" s="89"/>
      <c r="GO34" s="90"/>
      <c r="GP34" s="88"/>
      <c r="GQ34" s="88"/>
      <c r="GR34" s="88"/>
      <c r="GS34" s="88"/>
      <c r="GT34" s="88"/>
      <c r="GU34" s="88"/>
      <c r="GV34" s="88"/>
      <c r="GW34" s="88"/>
      <c r="GX34" s="88"/>
      <c r="GY34" s="88"/>
      <c r="GZ34" s="88"/>
      <c r="HA34" s="88"/>
      <c r="HB34" s="88"/>
      <c r="HC34" s="88"/>
      <c r="HD34" s="88"/>
      <c r="HE34" s="88"/>
      <c r="HF34" s="88"/>
      <c r="HG34" s="88"/>
      <c r="HH34" s="88"/>
      <c r="HI34" s="88"/>
      <c r="HJ34" s="88"/>
      <c r="HK34" s="88"/>
      <c r="HL34" s="88"/>
      <c r="HM34" s="88"/>
      <c r="HN34" s="88"/>
      <c r="HO34" s="92"/>
      <c r="HP34" s="87"/>
      <c r="HQ34" s="88"/>
      <c r="HR34" s="89"/>
      <c r="HS34" s="90"/>
      <c r="HT34" s="88"/>
      <c r="HU34" s="88"/>
      <c r="HV34" s="88"/>
      <c r="HW34" s="88"/>
      <c r="HX34" s="88"/>
      <c r="HY34" s="88"/>
      <c r="HZ34" s="88"/>
      <c r="IA34" s="88"/>
      <c r="IB34" s="88"/>
      <c r="IC34" s="88"/>
      <c r="ID34" s="88"/>
      <c r="IE34" s="88"/>
      <c r="IF34" s="88"/>
      <c r="IG34" s="88"/>
      <c r="IH34" s="88"/>
      <c r="II34" s="88"/>
      <c r="IJ34" s="88"/>
      <c r="IK34" s="88"/>
      <c r="IL34" s="88"/>
      <c r="IM34" s="88"/>
      <c r="IN34" s="88"/>
      <c r="IO34" s="88"/>
      <c r="IP34" s="88"/>
      <c r="IQ34" s="88"/>
      <c r="IR34" s="88"/>
      <c r="IS34" s="88"/>
      <c r="IT34" s="88"/>
      <c r="IU34" s="88"/>
      <c r="IV34" s="88"/>
      <c r="IW34" s="89"/>
      <c r="IX34" s="92"/>
      <c r="IY34" s="87"/>
      <c r="IZ34" s="88"/>
      <c r="JA34" s="88"/>
      <c r="JB34" s="88"/>
      <c r="JC34" s="88"/>
      <c r="JD34" s="88"/>
      <c r="JE34" s="88"/>
      <c r="JF34" s="88"/>
      <c r="JG34" s="88"/>
      <c r="JH34" s="88"/>
      <c r="JI34" s="88"/>
      <c r="JJ34" s="88"/>
      <c r="JK34" s="88"/>
      <c r="JL34" s="88"/>
      <c r="JM34" s="88"/>
      <c r="JN34" s="88"/>
      <c r="JO34" s="88"/>
      <c r="JP34" s="88"/>
      <c r="JQ34" s="88"/>
      <c r="JR34" s="88"/>
      <c r="JS34" s="88"/>
      <c r="JT34" s="88"/>
      <c r="JU34" s="88"/>
      <c r="JV34" s="88"/>
      <c r="JW34" s="88"/>
      <c r="JX34" s="88"/>
      <c r="JY34" s="88"/>
      <c r="JZ34" s="88"/>
      <c r="KA34" s="89"/>
      <c r="KB34" s="90"/>
      <c r="KC34" s="88"/>
      <c r="KD34" s="88"/>
      <c r="KE34" s="88"/>
      <c r="KF34" s="88"/>
      <c r="KG34" s="88"/>
    </row>
    <row r="35" customFormat="false" ht="22.5" hidden="false" customHeight="true" outlineLevel="1" collapsed="false">
      <c r="B35" s="75" t="s">
        <v>123</v>
      </c>
      <c r="C35" s="137" t="s">
        <v>124</v>
      </c>
      <c r="D35" s="127" t="s">
        <v>125</v>
      </c>
      <c r="E35" s="128" t="n">
        <v>2</v>
      </c>
      <c r="F35" s="129" t="n">
        <v>2</v>
      </c>
      <c r="G35" s="130" t="n">
        <f aca="false">E35-F35</f>
        <v>0</v>
      </c>
      <c r="H35" s="131" t="n">
        <v>1</v>
      </c>
      <c r="I35" s="132"/>
      <c r="J35" s="133" t="n">
        <v>46156</v>
      </c>
      <c r="K35" s="133" t="n">
        <v>46156</v>
      </c>
      <c r="L35" s="135" t="n">
        <f aca="false">K35-J35</f>
        <v>0</v>
      </c>
      <c r="M35" s="136" t="n">
        <f aca="false">IFERROR(F35/E35,"")</f>
        <v>1</v>
      </c>
      <c r="N35" s="87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9"/>
      <c r="AK35" s="90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9"/>
      <c r="BO35" s="90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88"/>
      <c r="CO35" s="88"/>
      <c r="CP35" s="88"/>
      <c r="CQ35" s="88"/>
      <c r="CR35" s="88"/>
      <c r="CS35" s="91"/>
      <c r="CT35" s="90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92"/>
      <c r="DV35" s="87"/>
      <c r="DW35" s="88"/>
      <c r="DX35" s="88"/>
      <c r="DY35" s="88"/>
      <c r="DZ35" s="88"/>
      <c r="EA35" s="88"/>
      <c r="EB35" s="88"/>
      <c r="EC35" s="88"/>
      <c r="ED35" s="89"/>
      <c r="EE35" s="90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88"/>
      <c r="EW35" s="88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9"/>
      <c r="FJ35" s="90"/>
      <c r="FK35" s="88"/>
      <c r="FL35" s="88"/>
      <c r="FM35" s="88"/>
      <c r="FN35" s="88"/>
      <c r="FO35" s="88"/>
      <c r="FP35" s="88"/>
      <c r="FQ35" s="88"/>
      <c r="FR35" s="88"/>
      <c r="FS35" s="88"/>
      <c r="FT35" s="88"/>
      <c r="FU35" s="88"/>
      <c r="FV35" s="88"/>
      <c r="FW35" s="88"/>
      <c r="FX35" s="88"/>
      <c r="FY35" s="88"/>
      <c r="FZ35" s="88"/>
      <c r="GA35" s="88"/>
      <c r="GB35" s="88"/>
      <c r="GC35" s="88"/>
      <c r="GD35" s="88"/>
      <c r="GE35" s="88"/>
      <c r="GF35" s="88"/>
      <c r="GG35" s="88"/>
      <c r="GH35" s="88"/>
      <c r="GI35" s="88"/>
      <c r="GJ35" s="88"/>
      <c r="GK35" s="88"/>
      <c r="GL35" s="88"/>
      <c r="GM35" s="88"/>
      <c r="GN35" s="89"/>
      <c r="GO35" s="90"/>
      <c r="GP35" s="88"/>
      <c r="GQ35" s="88"/>
      <c r="GR35" s="88"/>
      <c r="GS35" s="88"/>
      <c r="GT35" s="88"/>
      <c r="GU35" s="88"/>
      <c r="GV35" s="88"/>
      <c r="GW35" s="88"/>
      <c r="GX35" s="88"/>
      <c r="GY35" s="88"/>
      <c r="GZ35" s="88"/>
      <c r="HA35" s="88"/>
      <c r="HB35" s="88"/>
      <c r="HC35" s="88"/>
      <c r="HD35" s="88"/>
      <c r="HE35" s="88"/>
      <c r="HF35" s="88"/>
      <c r="HG35" s="88"/>
      <c r="HH35" s="88"/>
      <c r="HI35" s="88"/>
      <c r="HJ35" s="88"/>
      <c r="HK35" s="88"/>
      <c r="HL35" s="88"/>
      <c r="HM35" s="88"/>
      <c r="HN35" s="88"/>
      <c r="HO35" s="92"/>
      <c r="HP35" s="87"/>
      <c r="HQ35" s="88"/>
      <c r="HR35" s="89"/>
      <c r="HS35" s="90"/>
      <c r="HT35" s="88"/>
      <c r="HU35" s="88"/>
      <c r="HV35" s="88"/>
      <c r="HW35" s="88"/>
      <c r="HX35" s="88"/>
      <c r="HY35" s="88"/>
      <c r="HZ35" s="88"/>
      <c r="IA35" s="88"/>
      <c r="IB35" s="88"/>
      <c r="IC35" s="88"/>
      <c r="ID35" s="88"/>
      <c r="IE35" s="88"/>
      <c r="IF35" s="88"/>
      <c r="IG35" s="88"/>
      <c r="IH35" s="88"/>
      <c r="II35" s="88"/>
      <c r="IJ35" s="88"/>
      <c r="IK35" s="88"/>
      <c r="IL35" s="88"/>
      <c r="IM35" s="88"/>
      <c r="IN35" s="88"/>
      <c r="IO35" s="88"/>
      <c r="IP35" s="88"/>
      <c r="IQ35" s="88"/>
      <c r="IR35" s="88"/>
      <c r="IS35" s="88"/>
      <c r="IT35" s="88"/>
      <c r="IU35" s="88"/>
      <c r="IV35" s="88"/>
      <c r="IW35" s="89"/>
      <c r="IX35" s="92"/>
      <c r="IY35" s="87"/>
      <c r="IZ35" s="88"/>
      <c r="JA35" s="88"/>
      <c r="JB35" s="88"/>
      <c r="JC35" s="88"/>
      <c r="JD35" s="88"/>
      <c r="JE35" s="88"/>
      <c r="JF35" s="88"/>
      <c r="JG35" s="88"/>
      <c r="JH35" s="88"/>
      <c r="JI35" s="88"/>
      <c r="JJ35" s="88"/>
      <c r="JK35" s="88"/>
      <c r="JL35" s="88"/>
      <c r="JM35" s="88"/>
      <c r="JN35" s="88"/>
      <c r="JO35" s="88"/>
      <c r="JP35" s="88"/>
      <c r="JQ35" s="88"/>
      <c r="JR35" s="88"/>
      <c r="JS35" s="88"/>
      <c r="JT35" s="88"/>
      <c r="JU35" s="88"/>
      <c r="JV35" s="88"/>
      <c r="JW35" s="88"/>
      <c r="JX35" s="88"/>
      <c r="JY35" s="88"/>
      <c r="JZ35" s="88"/>
      <c r="KA35" s="89"/>
      <c r="KB35" s="90"/>
      <c r="KC35" s="88"/>
      <c r="KD35" s="88"/>
      <c r="KE35" s="88"/>
      <c r="KF35" s="88"/>
      <c r="KG35" s="88"/>
    </row>
    <row r="36" customFormat="false" ht="22.5" hidden="false" customHeight="true" outlineLevel="1" collapsed="false">
      <c r="B36" s="75" t="s">
        <v>126</v>
      </c>
      <c r="C36" s="137" t="s">
        <v>127</v>
      </c>
      <c r="D36" s="127" t="s">
        <v>125</v>
      </c>
      <c r="E36" s="128" t="n">
        <v>2</v>
      </c>
      <c r="F36" s="129" t="n">
        <v>2</v>
      </c>
      <c r="G36" s="130" t="n">
        <f aca="false">E36-F36</f>
        <v>0</v>
      </c>
      <c r="H36" s="131" t="n">
        <v>1</v>
      </c>
      <c r="I36" s="132" t="s">
        <v>123</v>
      </c>
      <c r="J36" s="133" t="n">
        <v>46157</v>
      </c>
      <c r="K36" s="133" t="n">
        <v>46157</v>
      </c>
      <c r="L36" s="135" t="n">
        <f aca="false">K36-J36</f>
        <v>0</v>
      </c>
      <c r="M36" s="136" t="n">
        <f aca="false">IFERROR(F36/E36,"")</f>
        <v>1</v>
      </c>
      <c r="N36" s="87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9"/>
      <c r="AK36" s="90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9"/>
      <c r="BO36" s="90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91"/>
      <c r="CT36" s="90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92"/>
      <c r="DV36" s="87"/>
      <c r="DW36" s="88"/>
      <c r="DX36" s="88"/>
      <c r="DY36" s="88"/>
      <c r="DZ36" s="88"/>
      <c r="EA36" s="88"/>
      <c r="EB36" s="88"/>
      <c r="EC36" s="88"/>
      <c r="ED36" s="89"/>
      <c r="EE36" s="90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88"/>
      <c r="EW36" s="88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9"/>
      <c r="FJ36" s="90"/>
      <c r="FK36" s="88"/>
      <c r="FL36" s="88"/>
      <c r="FM36" s="88"/>
      <c r="FN36" s="88"/>
      <c r="FO36" s="88"/>
      <c r="FP36" s="88"/>
      <c r="FQ36" s="88"/>
      <c r="FR36" s="88"/>
      <c r="FS36" s="88"/>
      <c r="FT36" s="88"/>
      <c r="FU36" s="88"/>
      <c r="FV36" s="88"/>
      <c r="FW36" s="88"/>
      <c r="FX36" s="88"/>
      <c r="FY36" s="88"/>
      <c r="FZ36" s="88"/>
      <c r="GA36" s="88"/>
      <c r="GB36" s="88"/>
      <c r="GC36" s="88"/>
      <c r="GD36" s="88"/>
      <c r="GE36" s="88"/>
      <c r="GF36" s="88"/>
      <c r="GG36" s="88"/>
      <c r="GH36" s="88"/>
      <c r="GI36" s="88"/>
      <c r="GJ36" s="88"/>
      <c r="GK36" s="88"/>
      <c r="GL36" s="88"/>
      <c r="GM36" s="88"/>
      <c r="GN36" s="89"/>
      <c r="GO36" s="90"/>
      <c r="GP36" s="88"/>
      <c r="GQ36" s="88"/>
      <c r="GR36" s="88"/>
      <c r="GS36" s="88"/>
      <c r="GT36" s="88"/>
      <c r="GU36" s="88"/>
      <c r="GV36" s="88"/>
      <c r="GW36" s="88"/>
      <c r="GX36" s="88"/>
      <c r="GY36" s="88"/>
      <c r="GZ36" s="88"/>
      <c r="HA36" s="88"/>
      <c r="HB36" s="88"/>
      <c r="HC36" s="88"/>
      <c r="HD36" s="88"/>
      <c r="HE36" s="88"/>
      <c r="HF36" s="88"/>
      <c r="HG36" s="88"/>
      <c r="HH36" s="88"/>
      <c r="HI36" s="88"/>
      <c r="HJ36" s="88"/>
      <c r="HK36" s="88"/>
      <c r="HL36" s="88"/>
      <c r="HM36" s="88"/>
      <c r="HN36" s="88"/>
      <c r="HO36" s="92"/>
      <c r="HP36" s="87"/>
      <c r="HQ36" s="88"/>
      <c r="HR36" s="89"/>
      <c r="HS36" s="90"/>
      <c r="HT36" s="88"/>
      <c r="HU36" s="88"/>
      <c r="HV36" s="88"/>
      <c r="HW36" s="88"/>
      <c r="HX36" s="88"/>
      <c r="HY36" s="88"/>
      <c r="HZ36" s="88"/>
      <c r="IA36" s="88"/>
      <c r="IB36" s="88"/>
      <c r="IC36" s="88"/>
      <c r="ID36" s="88"/>
      <c r="IE36" s="88"/>
      <c r="IF36" s="88"/>
      <c r="IG36" s="88"/>
      <c r="IH36" s="88"/>
      <c r="II36" s="88"/>
      <c r="IJ36" s="88"/>
      <c r="IK36" s="88"/>
      <c r="IL36" s="88"/>
      <c r="IM36" s="88"/>
      <c r="IN36" s="88"/>
      <c r="IO36" s="88"/>
      <c r="IP36" s="88"/>
      <c r="IQ36" s="88"/>
      <c r="IR36" s="88"/>
      <c r="IS36" s="88"/>
      <c r="IT36" s="88"/>
      <c r="IU36" s="88"/>
      <c r="IV36" s="88"/>
      <c r="IW36" s="89"/>
      <c r="IX36" s="92"/>
      <c r="IY36" s="87"/>
      <c r="IZ36" s="88"/>
      <c r="JA36" s="88"/>
      <c r="JB36" s="88"/>
      <c r="JC36" s="88"/>
      <c r="JD36" s="88"/>
      <c r="JE36" s="88"/>
      <c r="JF36" s="88"/>
      <c r="JG36" s="88"/>
      <c r="JH36" s="88"/>
      <c r="JI36" s="88"/>
      <c r="JJ36" s="88"/>
      <c r="JK36" s="88"/>
      <c r="JL36" s="88"/>
      <c r="JM36" s="88"/>
      <c r="JN36" s="88"/>
      <c r="JO36" s="88"/>
      <c r="JP36" s="88"/>
      <c r="JQ36" s="88"/>
      <c r="JR36" s="88"/>
      <c r="JS36" s="88"/>
      <c r="JT36" s="88"/>
      <c r="JU36" s="88"/>
      <c r="JV36" s="88"/>
      <c r="JW36" s="88"/>
      <c r="JX36" s="88"/>
      <c r="JY36" s="88"/>
      <c r="JZ36" s="88"/>
      <c r="KA36" s="89"/>
      <c r="KB36" s="90"/>
      <c r="KC36" s="88"/>
      <c r="KD36" s="88"/>
      <c r="KE36" s="88"/>
      <c r="KF36" s="88"/>
      <c r="KG36" s="88"/>
    </row>
    <row r="37" customFormat="false" ht="22.5" hidden="false" customHeight="true" outlineLevel="1" collapsed="false">
      <c r="B37" s="75" t="s">
        <v>128</v>
      </c>
      <c r="C37" s="138" t="s">
        <v>129</v>
      </c>
      <c r="D37" s="127" t="s">
        <v>130</v>
      </c>
      <c r="E37" s="128" t="n">
        <v>5</v>
      </c>
      <c r="F37" s="129" t="n">
        <v>5</v>
      </c>
      <c r="G37" s="130" t="n">
        <f aca="false">E37-F37</f>
        <v>0</v>
      </c>
      <c r="H37" s="131" t="n">
        <v>1</v>
      </c>
      <c r="I37" s="132" t="s">
        <v>126</v>
      </c>
      <c r="J37" s="133" t="n">
        <v>46159</v>
      </c>
      <c r="K37" s="133" t="n">
        <v>46162</v>
      </c>
      <c r="L37" s="135" t="n">
        <f aca="false">K37-J37</f>
        <v>3</v>
      </c>
      <c r="M37" s="136" t="n">
        <f aca="false">IFERROR(F37/E37,"")</f>
        <v>1</v>
      </c>
      <c r="N37" s="87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9"/>
      <c r="AK37" s="90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9"/>
      <c r="BO37" s="90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91"/>
      <c r="CT37" s="90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92"/>
      <c r="DV37" s="87"/>
      <c r="DW37" s="88"/>
      <c r="DX37" s="88"/>
      <c r="DY37" s="88"/>
      <c r="DZ37" s="88"/>
      <c r="EA37" s="88"/>
      <c r="EB37" s="88"/>
      <c r="EC37" s="88"/>
      <c r="ED37" s="89"/>
      <c r="EE37" s="90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88"/>
      <c r="EW37" s="88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9"/>
      <c r="FJ37" s="90"/>
      <c r="FK37" s="88"/>
      <c r="FL37" s="88"/>
      <c r="FM37" s="88"/>
      <c r="FN37" s="88"/>
      <c r="FO37" s="88"/>
      <c r="FP37" s="88"/>
      <c r="FQ37" s="88"/>
      <c r="FR37" s="88"/>
      <c r="FS37" s="88"/>
      <c r="FT37" s="88"/>
      <c r="FU37" s="88"/>
      <c r="FV37" s="88"/>
      <c r="FW37" s="88"/>
      <c r="FX37" s="88"/>
      <c r="FY37" s="88"/>
      <c r="FZ37" s="88"/>
      <c r="GA37" s="88"/>
      <c r="GB37" s="88"/>
      <c r="GC37" s="88"/>
      <c r="GD37" s="88"/>
      <c r="GE37" s="88"/>
      <c r="GF37" s="88"/>
      <c r="GG37" s="88"/>
      <c r="GH37" s="88"/>
      <c r="GI37" s="88"/>
      <c r="GJ37" s="88"/>
      <c r="GK37" s="88"/>
      <c r="GL37" s="88"/>
      <c r="GM37" s="88"/>
      <c r="GN37" s="89"/>
      <c r="GO37" s="90"/>
      <c r="GP37" s="88"/>
      <c r="GQ37" s="88"/>
      <c r="GR37" s="88"/>
      <c r="GS37" s="88"/>
      <c r="GT37" s="88"/>
      <c r="GU37" s="88"/>
      <c r="GV37" s="88"/>
      <c r="GW37" s="88"/>
      <c r="GX37" s="88"/>
      <c r="GY37" s="88"/>
      <c r="GZ37" s="88"/>
      <c r="HA37" s="88"/>
      <c r="HB37" s="88"/>
      <c r="HC37" s="88"/>
      <c r="HD37" s="88"/>
      <c r="HE37" s="88"/>
      <c r="HF37" s="88"/>
      <c r="HG37" s="88"/>
      <c r="HH37" s="88"/>
      <c r="HI37" s="88"/>
      <c r="HJ37" s="88"/>
      <c r="HK37" s="88"/>
      <c r="HL37" s="88"/>
      <c r="HM37" s="88"/>
      <c r="HN37" s="88"/>
      <c r="HO37" s="92"/>
      <c r="HP37" s="87"/>
      <c r="HQ37" s="88"/>
      <c r="HR37" s="89"/>
      <c r="HS37" s="90"/>
      <c r="HT37" s="88"/>
      <c r="HU37" s="88"/>
      <c r="HV37" s="88"/>
      <c r="HW37" s="88"/>
      <c r="HX37" s="88"/>
      <c r="HY37" s="88"/>
      <c r="HZ37" s="88"/>
      <c r="IA37" s="88"/>
      <c r="IB37" s="88"/>
      <c r="IC37" s="88"/>
      <c r="ID37" s="88"/>
      <c r="IE37" s="88"/>
      <c r="IF37" s="88"/>
      <c r="IG37" s="88"/>
      <c r="IH37" s="88"/>
      <c r="II37" s="88"/>
      <c r="IJ37" s="88"/>
      <c r="IK37" s="88"/>
      <c r="IL37" s="88"/>
      <c r="IM37" s="88"/>
      <c r="IN37" s="88"/>
      <c r="IO37" s="88"/>
      <c r="IP37" s="88"/>
      <c r="IQ37" s="88"/>
      <c r="IR37" s="88"/>
      <c r="IS37" s="88"/>
      <c r="IT37" s="88"/>
      <c r="IU37" s="88"/>
      <c r="IV37" s="88"/>
      <c r="IW37" s="89"/>
      <c r="IX37" s="92"/>
      <c r="IY37" s="87"/>
      <c r="IZ37" s="88"/>
      <c r="JA37" s="88"/>
      <c r="JB37" s="88"/>
      <c r="JC37" s="88"/>
      <c r="JD37" s="88"/>
      <c r="JE37" s="88"/>
      <c r="JF37" s="88"/>
      <c r="JG37" s="88"/>
      <c r="JH37" s="88"/>
      <c r="JI37" s="88"/>
      <c r="JJ37" s="88"/>
      <c r="JK37" s="88"/>
      <c r="JL37" s="88"/>
      <c r="JM37" s="88"/>
      <c r="JN37" s="88"/>
      <c r="JO37" s="88"/>
      <c r="JP37" s="88"/>
      <c r="JQ37" s="88"/>
      <c r="JR37" s="88"/>
      <c r="JS37" s="88"/>
      <c r="JT37" s="88"/>
      <c r="JU37" s="88"/>
      <c r="JV37" s="88"/>
      <c r="JW37" s="88"/>
      <c r="JX37" s="88"/>
      <c r="JY37" s="88"/>
      <c r="JZ37" s="88"/>
      <c r="KA37" s="89"/>
      <c r="KB37" s="90"/>
      <c r="KC37" s="88"/>
      <c r="KD37" s="88"/>
      <c r="KE37" s="88"/>
      <c r="KF37" s="88"/>
      <c r="KG37" s="88"/>
    </row>
    <row r="38" customFormat="false" ht="22.5" hidden="false" customHeight="true" outlineLevel="1" collapsed="false">
      <c r="B38" s="75" t="s">
        <v>131</v>
      </c>
      <c r="C38" s="138" t="s">
        <v>132</v>
      </c>
      <c r="D38" s="127" t="s">
        <v>125</v>
      </c>
      <c r="E38" s="139" t="n">
        <v>8</v>
      </c>
      <c r="F38" s="140" t="n">
        <v>8</v>
      </c>
      <c r="G38" s="141" t="n">
        <f aca="false">E38-F38</f>
        <v>0</v>
      </c>
      <c r="H38" s="142" t="n">
        <v>1</v>
      </c>
      <c r="I38" s="132" t="s">
        <v>126</v>
      </c>
      <c r="J38" s="133" t="n">
        <v>46161</v>
      </c>
      <c r="K38" s="133" t="n">
        <v>46164</v>
      </c>
      <c r="L38" s="143" t="n">
        <f aca="false">K38-J38</f>
        <v>3</v>
      </c>
      <c r="M38" s="136" t="n">
        <f aca="false">IFERROR(F38/E38,"")</f>
        <v>1</v>
      </c>
      <c r="N38" s="87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9"/>
      <c r="AK38" s="90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9"/>
      <c r="BO38" s="90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91"/>
      <c r="CT38" s="90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92"/>
      <c r="DV38" s="87"/>
      <c r="DW38" s="88"/>
      <c r="DX38" s="88"/>
      <c r="DY38" s="88"/>
      <c r="DZ38" s="88"/>
      <c r="EA38" s="88"/>
      <c r="EB38" s="88"/>
      <c r="EC38" s="88"/>
      <c r="ED38" s="89"/>
      <c r="EE38" s="90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88"/>
      <c r="EW38" s="88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9"/>
      <c r="FJ38" s="90"/>
      <c r="FK38" s="88"/>
      <c r="FL38" s="88"/>
      <c r="FM38" s="88"/>
      <c r="FN38" s="88"/>
      <c r="FO38" s="88"/>
      <c r="FP38" s="88"/>
      <c r="FQ38" s="88"/>
      <c r="FR38" s="88"/>
      <c r="FS38" s="88"/>
      <c r="FT38" s="88"/>
      <c r="FU38" s="88"/>
      <c r="FV38" s="88"/>
      <c r="FW38" s="88"/>
      <c r="FX38" s="88"/>
      <c r="FY38" s="88"/>
      <c r="FZ38" s="88"/>
      <c r="GA38" s="88"/>
      <c r="GB38" s="88"/>
      <c r="GC38" s="88"/>
      <c r="GD38" s="88"/>
      <c r="GE38" s="88"/>
      <c r="GF38" s="88"/>
      <c r="GG38" s="88"/>
      <c r="GH38" s="88"/>
      <c r="GI38" s="88"/>
      <c r="GJ38" s="88"/>
      <c r="GK38" s="88"/>
      <c r="GL38" s="88"/>
      <c r="GM38" s="88"/>
      <c r="GN38" s="89"/>
      <c r="GO38" s="90"/>
      <c r="GP38" s="88"/>
      <c r="GQ38" s="88"/>
      <c r="GR38" s="88"/>
      <c r="GS38" s="88"/>
      <c r="GT38" s="88"/>
      <c r="GU38" s="88"/>
      <c r="GV38" s="88"/>
      <c r="GW38" s="88"/>
      <c r="GX38" s="88"/>
      <c r="GY38" s="88"/>
      <c r="GZ38" s="88"/>
      <c r="HA38" s="88"/>
      <c r="HB38" s="88"/>
      <c r="HC38" s="88"/>
      <c r="HD38" s="88"/>
      <c r="HE38" s="88"/>
      <c r="HF38" s="88"/>
      <c r="HG38" s="88"/>
      <c r="HH38" s="88"/>
      <c r="HI38" s="88"/>
      <c r="HJ38" s="88"/>
      <c r="HK38" s="88"/>
      <c r="HL38" s="88"/>
      <c r="HM38" s="88"/>
      <c r="HN38" s="88"/>
      <c r="HO38" s="92"/>
      <c r="HP38" s="87"/>
      <c r="HQ38" s="88"/>
      <c r="HR38" s="89"/>
      <c r="HS38" s="90"/>
      <c r="HT38" s="88"/>
      <c r="HU38" s="88"/>
      <c r="HV38" s="88"/>
      <c r="HW38" s="88"/>
      <c r="HX38" s="88"/>
      <c r="HY38" s="88"/>
      <c r="HZ38" s="88"/>
      <c r="IA38" s="88"/>
      <c r="IB38" s="88"/>
      <c r="IC38" s="88"/>
      <c r="ID38" s="88"/>
      <c r="IE38" s="88"/>
      <c r="IF38" s="88"/>
      <c r="IG38" s="88"/>
      <c r="IH38" s="88"/>
      <c r="II38" s="88"/>
      <c r="IJ38" s="88"/>
      <c r="IK38" s="88"/>
      <c r="IL38" s="88"/>
      <c r="IM38" s="88"/>
      <c r="IN38" s="88"/>
      <c r="IO38" s="88"/>
      <c r="IP38" s="88"/>
      <c r="IQ38" s="88"/>
      <c r="IR38" s="88"/>
      <c r="IS38" s="88"/>
      <c r="IT38" s="88"/>
      <c r="IU38" s="88"/>
      <c r="IV38" s="88"/>
      <c r="IW38" s="89"/>
      <c r="IX38" s="92"/>
      <c r="IY38" s="87"/>
      <c r="IZ38" s="88"/>
      <c r="JA38" s="88"/>
      <c r="JB38" s="88"/>
      <c r="JC38" s="88"/>
      <c r="JD38" s="88"/>
      <c r="JE38" s="88"/>
      <c r="JF38" s="88"/>
      <c r="JG38" s="88"/>
      <c r="JH38" s="88"/>
      <c r="JI38" s="88"/>
      <c r="JJ38" s="88"/>
      <c r="JK38" s="88"/>
      <c r="JL38" s="88"/>
      <c r="JM38" s="88"/>
      <c r="JN38" s="88"/>
      <c r="JO38" s="88"/>
      <c r="JP38" s="88"/>
      <c r="JQ38" s="88"/>
      <c r="JR38" s="88"/>
      <c r="JS38" s="88"/>
      <c r="JT38" s="88"/>
      <c r="JU38" s="88"/>
      <c r="JV38" s="88"/>
      <c r="JW38" s="88"/>
      <c r="JX38" s="88"/>
      <c r="JY38" s="88"/>
      <c r="JZ38" s="88"/>
      <c r="KA38" s="89"/>
      <c r="KB38" s="90"/>
      <c r="KC38" s="88"/>
      <c r="KD38" s="88"/>
      <c r="KE38" s="88"/>
      <c r="KF38" s="88"/>
      <c r="KG38" s="88"/>
    </row>
    <row r="39" customFormat="false" ht="22.5" hidden="false" customHeight="true" outlineLevel="1" collapsed="false">
      <c r="B39" s="75" t="s">
        <v>133</v>
      </c>
      <c r="C39" s="138" t="s">
        <v>134</v>
      </c>
      <c r="D39" s="127" t="s">
        <v>135</v>
      </c>
      <c r="E39" s="139" t="n">
        <v>6</v>
      </c>
      <c r="F39" s="140" t="n">
        <v>6</v>
      </c>
      <c r="G39" s="141" t="n">
        <f aca="false">E39-F39</f>
        <v>0</v>
      </c>
      <c r="H39" s="142" t="n">
        <v>1</v>
      </c>
      <c r="I39" s="132" t="s">
        <v>123</v>
      </c>
      <c r="J39" s="133" t="n">
        <v>46157</v>
      </c>
      <c r="K39" s="133" t="n">
        <v>46164</v>
      </c>
      <c r="L39" s="143" t="n">
        <f aca="false">K39-J39</f>
        <v>7</v>
      </c>
      <c r="M39" s="136" t="n">
        <f aca="false">IFERROR(F39/E39,"")</f>
        <v>1</v>
      </c>
      <c r="N39" s="87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9"/>
      <c r="AK39" s="90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9"/>
      <c r="BO39" s="90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91"/>
      <c r="CT39" s="90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92"/>
      <c r="DV39" s="87"/>
      <c r="DW39" s="88"/>
      <c r="DX39" s="88"/>
      <c r="DY39" s="88"/>
      <c r="DZ39" s="88"/>
      <c r="EA39" s="88"/>
      <c r="EB39" s="88"/>
      <c r="EC39" s="88"/>
      <c r="ED39" s="89"/>
      <c r="EE39" s="90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88"/>
      <c r="EW39" s="88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9"/>
      <c r="FJ39" s="90"/>
      <c r="FK39" s="88"/>
      <c r="FL39" s="88"/>
      <c r="FM39" s="88"/>
      <c r="FN39" s="88"/>
      <c r="FO39" s="88"/>
      <c r="FP39" s="88"/>
      <c r="FQ39" s="88"/>
      <c r="FR39" s="88"/>
      <c r="FS39" s="88"/>
      <c r="FT39" s="88"/>
      <c r="FU39" s="88"/>
      <c r="FV39" s="88"/>
      <c r="FW39" s="88"/>
      <c r="FX39" s="88"/>
      <c r="FY39" s="88"/>
      <c r="FZ39" s="88"/>
      <c r="GA39" s="88"/>
      <c r="GB39" s="88"/>
      <c r="GC39" s="88"/>
      <c r="GD39" s="88"/>
      <c r="GE39" s="88"/>
      <c r="GF39" s="88"/>
      <c r="GG39" s="88"/>
      <c r="GH39" s="88"/>
      <c r="GI39" s="88"/>
      <c r="GJ39" s="88"/>
      <c r="GK39" s="88"/>
      <c r="GL39" s="88"/>
      <c r="GM39" s="88"/>
      <c r="GN39" s="89"/>
      <c r="GO39" s="90"/>
      <c r="GP39" s="88"/>
      <c r="GQ39" s="88"/>
      <c r="GR39" s="88"/>
      <c r="GS39" s="88"/>
      <c r="GT39" s="88"/>
      <c r="GU39" s="88"/>
      <c r="GV39" s="88"/>
      <c r="GW39" s="88"/>
      <c r="GX39" s="88"/>
      <c r="GY39" s="88"/>
      <c r="GZ39" s="88"/>
      <c r="HA39" s="88"/>
      <c r="HB39" s="88"/>
      <c r="HC39" s="88"/>
      <c r="HD39" s="88"/>
      <c r="HE39" s="88"/>
      <c r="HF39" s="88"/>
      <c r="HG39" s="88"/>
      <c r="HH39" s="88"/>
      <c r="HI39" s="88"/>
      <c r="HJ39" s="88"/>
      <c r="HK39" s="88"/>
      <c r="HL39" s="88"/>
      <c r="HM39" s="88"/>
      <c r="HN39" s="88"/>
      <c r="HO39" s="92"/>
      <c r="HP39" s="87"/>
      <c r="HQ39" s="88"/>
      <c r="HR39" s="89"/>
      <c r="HS39" s="90"/>
      <c r="HT39" s="88"/>
      <c r="HU39" s="88"/>
      <c r="HV39" s="88"/>
      <c r="HW39" s="88"/>
      <c r="HX39" s="88"/>
      <c r="HY39" s="88"/>
      <c r="HZ39" s="88"/>
      <c r="IA39" s="88"/>
      <c r="IB39" s="88"/>
      <c r="IC39" s="88"/>
      <c r="ID39" s="88"/>
      <c r="IE39" s="88"/>
      <c r="IF39" s="88"/>
      <c r="IG39" s="88"/>
      <c r="IH39" s="88"/>
      <c r="II39" s="88"/>
      <c r="IJ39" s="88"/>
      <c r="IK39" s="88"/>
      <c r="IL39" s="88"/>
      <c r="IM39" s="88"/>
      <c r="IN39" s="88"/>
      <c r="IO39" s="88"/>
      <c r="IP39" s="88"/>
      <c r="IQ39" s="88"/>
      <c r="IR39" s="88"/>
      <c r="IS39" s="88"/>
      <c r="IT39" s="88"/>
      <c r="IU39" s="88"/>
      <c r="IV39" s="88"/>
      <c r="IW39" s="89"/>
      <c r="IX39" s="92"/>
      <c r="IY39" s="87"/>
      <c r="IZ39" s="88"/>
      <c r="JA39" s="88"/>
      <c r="JB39" s="88"/>
      <c r="JC39" s="88"/>
      <c r="JD39" s="88"/>
      <c r="JE39" s="88"/>
      <c r="JF39" s="88"/>
      <c r="JG39" s="88"/>
      <c r="JH39" s="88"/>
      <c r="JI39" s="88"/>
      <c r="JJ39" s="88"/>
      <c r="JK39" s="88"/>
      <c r="JL39" s="88"/>
      <c r="JM39" s="88"/>
      <c r="JN39" s="88"/>
      <c r="JO39" s="88"/>
      <c r="JP39" s="88"/>
      <c r="JQ39" s="88"/>
      <c r="JR39" s="88"/>
      <c r="JS39" s="88"/>
      <c r="JT39" s="88"/>
      <c r="JU39" s="88"/>
      <c r="JV39" s="88"/>
      <c r="JW39" s="88"/>
      <c r="JX39" s="88"/>
      <c r="JY39" s="88"/>
      <c r="JZ39" s="88"/>
      <c r="KA39" s="89"/>
      <c r="KB39" s="90"/>
      <c r="KC39" s="88"/>
      <c r="KD39" s="88"/>
      <c r="KE39" s="88"/>
      <c r="KF39" s="88"/>
      <c r="KG39" s="88"/>
    </row>
    <row r="40" customFormat="false" ht="22.5" hidden="false" customHeight="true" outlineLevel="1" collapsed="false">
      <c r="B40" s="75" t="s">
        <v>136</v>
      </c>
      <c r="C40" s="138" t="s">
        <v>137</v>
      </c>
      <c r="D40" s="127" t="s">
        <v>138</v>
      </c>
      <c r="E40" s="139" t="n">
        <v>10</v>
      </c>
      <c r="F40" s="140" t="n">
        <v>10</v>
      </c>
      <c r="G40" s="141" t="n">
        <f aca="false">E40-F40</f>
        <v>0</v>
      </c>
      <c r="H40" s="142" t="n">
        <v>1</v>
      </c>
      <c r="I40" s="132"/>
      <c r="J40" s="133" t="n">
        <v>46164</v>
      </c>
      <c r="K40" s="144" t="n">
        <v>46167</v>
      </c>
      <c r="L40" s="143" t="n">
        <f aca="false">K40-J40</f>
        <v>3</v>
      </c>
      <c r="M40" s="136" t="n">
        <f aca="false">IFERROR(F40/E40,"")</f>
        <v>1</v>
      </c>
      <c r="N40" s="87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9"/>
      <c r="AK40" s="90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9"/>
      <c r="BO40" s="90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88"/>
      <c r="CO40" s="88"/>
      <c r="CP40" s="88"/>
      <c r="CQ40" s="88"/>
      <c r="CR40" s="88"/>
      <c r="CS40" s="91"/>
      <c r="CT40" s="90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92"/>
      <c r="DV40" s="87"/>
      <c r="DW40" s="88"/>
      <c r="DX40" s="88"/>
      <c r="DY40" s="88"/>
      <c r="DZ40" s="88"/>
      <c r="EA40" s="88"/>
      <c r="EB40" s="88"/>
      <c r="EC40" s="88"/>
      <c r="ED40" s="89"/>
      <c r="EE40" s="90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88"/>
      <c r="EW40" s="88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9"/>
      <c r="FJ40" s="90"/>
      <c r="FK40" s="88"/>
      <c r="FL40" s="88"/>
      <c r="FM40" s="88"/>
      <c r="FN40" s="88"/>
      <c r="FO40" s="88"/>
      <c r="FP40" s="88"/>
      <c r="FQ40" s="88"/>
      <c r="FR40" s="88"/>
      <c r="FS40" s="88"/>
      <c r="FT40" s="88"/>
      <c r="FU40" s="88"/>
      <c r="FV40" s="88"/>
      <c r="FW40" s="88"/>
      <c r="FX40" s="88"/>
      <c r="FY40" s="88"/>
      <c r="FZ40" s="88"/>
      <c r="GA40" s="88"/>
      <c r="GB40" s="88"/>
      <c r="GC40" s="88"/>
      <c r="GD40" s="88"/>
      <c r="GE40" s="88"/>
      <c r="GF40" s="88"/>
      <c r="GG40" s="88"/>
      <c r="GH40" s="88"/>
      <c r="GI40" s="88"/>
      <c r="GJ40" s="88"/>
      <c r="GK40" s="88"/>
      <c r="GL40" s="88"/>
      <c r="GM40" s="88"/>
      <c r="GN40" s="89"/>
      <c r="GO40" s="90"/>
      <c r="GP40" s="88"/>
      <c r="GQ40" s="88"/>
      <c r="GR40" s="88"/>
      <c r="GS40" s="88"/>
      <c r="GT40" s="88"/>
      <c r="GU40" s="88"/>
      <c r="GV40" s="88"/>
      <c r="GW40" s="88"/>
      <c r="GX40" s="88"/>
      <c r="GY40" s="88"/>
      <c r="GZ40" s="88"/>
      <c r="HA40" s="88"/>
      <c r="HB40" s="88"/>
      <c r="HC40" s="88"/>
      <c r="HD40" s="88"/>
      <c r="HE40" s="88"/>
      <c r="HF40" s="88"/>
      <c r="HG40" s="88"/>
      <c r="HH40" s="88"/>
      <c r="HI40" s="88"/>
      <c r="HJ40" s="88"/>
      <c r="HK40" s="88"/>
      <c r="HL40" s="88"/>
      <c r="HM40" s="88"/>
      <c r="HN40" s="88"/>
      <c r="HO40" s="92"/>
      <c r="HP40" s="87"/>
      <c r="HQ40" s="88"/>
      <c r="HR40" s="89"/>
      <c r="HS40" s="90"/>
      <c r="HT40" s="88"/>
      <c r="HU40" s="88"/>
      <c r="HV40" s="88"/>
      <c r="HW40" s="88"/>
      <c r="HX40" s="88"/>
      <c r="HY40" s="88"/>
      <c r="HZ40" s="88"/>
      <c r="IA40" s="88"/>
      <c r="IB40" s="88"/>
      <c r="IC40" s="88"/>
      <c r="ID40" s="88"/>
      <c r="IE40" s="88"/>
      <c r="IF40" s="88"/>
      <c r="IG40" s="88"/>
      <c r="IH40" s="88"/>
      <c r="II40" s="88"/>
      <c r="IJ40" s="88"/>
      <c r="IK40" s="88"/>
      <c r="IL40" s="88"/>
      <c r="IM40" s="88"/>
      <c r="IN40" s="88"/>
      <c r="IO40" s="88"/>
      <c r="IP40" s="88"/>
      <c r="IQ40" s="88"/>
      <c r="IR40" s="88"/>
      <c r="IS40" s="88"/>
      <c r="IT40" s="88"/>
      <c r="IU40" s="88"/>
      <c r="IV40" s="88"/>
      <c r="IW40" s="89"/>
      <c r="IX40" s="92"/>
      <c r="IY40" s="87"/>
      <c r="IZ40" s="88"/>
      <c r="JA40" s="88"/>
      <c r="JB40" s="88"/>
      <c r="JC40" s="88"/>
      <c r="JD40" s="88"/>
      <c r="JE40" s="88"/>
      <c r="JF40" s="88"/>
      <c r="JG40" s="88"/>
      <c r="JH40" s="88"/>
      <c r="JI40" s="88"/>
      <c r="JJ40" s="88"/>
      <c r="JK40" s="88"/>
      <c r="JL40" s="88"/>
      <c r="JM40" s="88"/>
      <c r="JN40" s="88"/>
      <c r="JO40" s="88"/>
      <c r="JP40" s="88"/>
      <c r="JQ40" s="88"/>
      <c r="JR40" s="88"/>
      <c r="JS40" s="88"/>
      <c r="JT40" s="88"/>
      <c r="JU40" s="88"/>
      <c r="JV40" s="88"/>
      <c r="JW40" s="88"/>
      <c r="JX40" s="88"/>
      <c r="JY40" s="88"/>
      <c r="JZ40" s="88"/>
      <c r="KA40" s="89"/>
      <c r="KB40" s="90"/>
      <c r="KC40" s="88"/>
      <c r="KD40" s="88"/>
      <c r="KE40" s="88"/>
      <c r="KF40" s="88"/>
      <c r="KG40" s="88"/>
    </row>
    <row r="41" customFormat="false" ht="22.5" hidden="false" customHeight="true" outlineLevel="1" collapsed="false">
      <c r="B41" s="75" t="s">
        <v>139</v>
      </c>
      <c r="C41" s="138" t="s">
        <v>140</v>
      </c>
      <c r="D41" s="127" t="s">
        <v>130</v>
      </c>
      <c r="E41" s="139" t="n">
        <v>2</v>
      </c>
      <c r="F41" s="140" t="n">
        <v>2</v>
      </c>
      <c r="G41" s="141" t="n">
        <f aca="false">E41-F41</f>
        <v>0</v>
      </c>
      <c r="H41" s="142" t="n">
        <v>2</v>
      </c>
      <c r="I41" s="132" t="s">
        <v>128</v>
      </c>
      <c r="J41" s="133" t="n">
        <v>46164</v>
      </c>
      <c r="K41" s="133" t="n">
        <v>46165</v>
      </c>
      <c r="L41" s="143" t="n">
        <f aca="false">K41-J41</f>
        <v>1</v>
      </c>
      <c r="M41" s="136" t="n">
        <f aca="false">IFERROR(F41/E41,"")</f>
        <v>1</v>
      </c>
      <c r="N41" s="87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K41" s="90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9"/>
      <c r="BO41" s="90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91"/>
      <c r="CT41" s="90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  <c r="DL41" s="88"/>
      <c r="DM41" s="88"/>
      <c r="DN41" s="88"/>
      <c r="DO41" s="88"/>
      <c r="DP41" s="88"/>
      <c r="DQ41" s="88"/>
      <c r="DR41" s="88"/>
      <c r="DS41" s="88"/>
      <c r="DT41" s="88"/>
      <c r="DU41" s="92"/>
      <c r="DV41" s="87"/>
      <c r="DW41" s="88"/>
      <c r="DX41" s="88"/>
      <c r="DY41" s="88"/>
      <c r="DZ41" s="88"/>
      <c r="EA41" s="88"/>
      <c r="EB41" s="88"/>
      <c r="EC41" s="88"/>
      <c r="ED41" s="89"/>
      <c r="EE41" s="90"/>
      <c r="EF41" s="88"/>
      <c r="EG41" s="88"/>
      <c r="EH41" s="88"/>
      <c r="EI41" s="88"/>
      <c r="EJ41" s="88"/>
      <c r="EK41" s="88"/>
      <c r="EL41" s="88"/>
      <c r="EM41" s="88"/>
      <c r="EN41" s="88"/>
      <c r="EO41" s="88"/>
      <c r="EP41" s="88"/>
      <c r="EQ41" s="88"/>
      <c r="ER41" s="88"/>
      <c r="ES41" s="88"/>
      <c r="ET41" s="88"/>
      <c r="EU41" s="88"/>
      <c r="EV41" s="88"/>
      <c r="EW41" s="88"/>
      <c r="EX41" s="88"/>
      <c r="EY41" s="88"/>
      <c r="EZ41" s="88"/>
      <c r="FA41" s="88"/>
      <c r="FB41" s="88"/>
      <c r="FC41" s="88"/>
      <c r="FD41" s="88"/>
      <c r="FE41" s="88"/>
      <c r="FF41" s="88"/>
      <c r="FG41" s="88"/>
      <c r="FH41" s="88"/>
      <c r="FI41" s="89"/>
      <c r="FJ41" s="90"/>
      <c r="FK41" s="88"/>
      <c r="FL41" s="88"/>
      <c r="FM41" s="88"/>
      <c r="FN41" s="88"/>
      <c r="FO41" s="88"/>
      <c r="FP41" s="88"/>
      <c r="FQ41" s="88"/>
      <c r="FR41" s="88"/>
      <c r="FS41" s="88"/>
      <c r="FT41" s="88"/>
      <c r="FU41" s="88"/>
      <c r="FV41" s="88"/>
      <c r="FW41" s="88"/>
      <c r="FX41" s="88"/>
      <c r="FY41" s="88"/>
      <c r="FZ41" s="88"/>
      <c r="GA41" s="88"/>
      <c r="GB41" s="88"/>
      <c r="GC41" s="88"/>
      <c r="GD41" s="88"/>
      <c r="GE41" s="88"/>
      <c r="GF41" s="88"/>
      <c r="GG41" s="88"/>
      <c r="GH41" s="88"/>
      <c r="GI41" s="88"/>
      <c r="GJ41" s="88"/>
      <c r="GK41" s="88"/>
      <c r="GL41" s="88"/>
      <c r="GM41" s="88"/>
      <c r="GN41" s="89"/>
      <c r="GO41" s="90"/>
      <c r="GP41" s="88"/>
      <c r="GQ41" s="88"/>
      <c r="GR41" s="88"/>
      <c r="GS41" s="88"/>
      <c r="GT41" s="88"/>
      <c r="GU41" s="88"/>
      <c r="GV41" s="88"/>
      <c r="GW41" s="88"/>
      <c r="GX41" s="88"/>
      <c r="GY41" s="88"/>
      <c r="GZ41" s="88"/>
      <c r="HA41" s="88"/>
      <c r="HB41" s="88"/>
      <c r="HC41" s="88"/>
      <c r="HD41" s="88"/>
      <c r="HE41" s="88"/>
      <c r="HF41" s="88"/>
      <c r="HG41" s="88"/>
      <c r="HH41" s="88"/>
      <c r="HI41" s="88"/>
      <c r="HJ41" s="88"/>
      <c r="HK41" s="88"/>
      <c r="HL41" s="88"/>
      <c r="HM41" s="88"/>
      <c r="HN41" s="88"/>
      <c r="HO41" s="92"/>
      <c r="HP41" s="87"/>
      <c r="HQ41" s="88"/>
      <c r="HR41" s="89"/>
      <c r="HS41" s="90"/>
      <c r="HT41" s="88"/>
      <c r="HU41" s="88"/>
      <c r="HV41" s="88"/>
      <c r="HW41" s="88"/>
      <c r="HX41" s="88"/>
      <c r="HY41" s="88"/>
      <c r="HZ41" s="88"/>
      <c r="IA41" s="88"/>
      <c r="IB41" s="88"/>
      <c r="IC41" s="88"/>
      <c r="ID41" s="88"/>
      <c r="IE41" s="88"/>
      <c r="IF41" s="88"/>
      <c r="IG41" s="88"/>
      <c r="IH41" s="88"/>
      <c r="II41" s="88"/>
      <c r="IJ41" s="88"/>
      <c r="IK41" s="88"/>
      <c r="IL41" s="88"/>
      <c r="IM41" s="88"/>
      <c r="IN41" s="88"/>
      <c r="IO41" s="88"/>
      <c r="IP41" s="88"/>
      <c r="IQ41" s="88"/>
      <c r="IR41" s="88"/>
      <c r="IS41" s="88"/>
      <c r="IT41" s="88"/>
      <c r="IU41" s="88"/>
      <c r="IV41" s="88"/>
      <c r="IW41" s="89"/>
      <c r="IX41" s="92"/>
      <c r="IY41" s="87"/>
      <c r="IZ41" s="88"/>
      <c r="JA41" s="88"/>
      <c r="JB41" s="88"/>
      <c r="JC41" s="88"/>
      <c r="JD41" s="88"/>
      <c r="JE41" s="88"/>
      <c r="JF41" s="88"/>
      <c r="JG41" s="88"/>
      <c r="JH41" s="88"/>
      <c r="JI41" s="88"/>
      <c r="JJ41" s="88"/>
      <c r="JK41" s="88"/>
      <c r="JL41" s="88"/>
      <c r="JM41" s="88"/>
      <c r="JN41" s="88"/>
      <c r="JO41" s="88"/>
      <c r="JP41" s="88"/>
      <c r="JQ41" s="88"/>
      <c r="JR41" s="88"/>
      <c r="JS41" s="88"/>
      <c r="JT41" s="88"/>
      <c r="JU41" s="88"/>
      <c r="JV41" s="88"/>
      <c r="JW41" s="88"/>
      <c r="JX41" s="88"/>
      <c r="JY41" s="88"/>
      <c r="JZ41" s="88"/>
      <c r="KA41" s="89"/>
      <c r="KB41" s="90"/>
      <c r="KC41" s="88"/>
      <c r="KD41" s="88"/>
      <c r="KE41" s="88"/>
      <c r="KF41" s="88"/>
      <c r="KG41" s="88"/>
    </row>
    <row r="42" customFormat="false" ht="22.5" hidden="false" customHeight="true" outlineLevel="1" collapsed="false">
      <c r="B42" s="75" t="s">
        <v>141</v>
      </c>
      <c r="C42" s="138" t="s">
        <v>142</v>
      </c>
      <c r="D42" s="127" t="s">
        <v>130</v>
      </c>
      <c r="E42" s="139" t="n">
        <v>6</v>
      </c>
      <c r="F42" s="140" t="n">
        <v>6</v>
      </c>
      <c r="G42" s="141" t="n">
        <f aca="false">E42-F42</f>
        <v>0</v>
      </c>
      <c r="H42" s="142" t="n">
        <v>2</v>
      </c>
      <c r="I42" s="132" t="s">
        <v>128</v>
      </c>
      <c r="J42" s="133" t="n">
        <v>46165</v>
      </c>
      <c r="K42" s="133" t="n">
        <v>46167</v>
      </c>
      <c r="L42" s="143" t="n">
        <f aca="false">K42-J42</f>
        <v>2</v>
      </c>
      <c r="M42" s="136" t="n">
        <f aca="false">IFERROR(F42/E42,"")</f>
        <v>1</v>
      </c>
      <c r="N42" s="87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9"/>
      <c r="AK42" s="90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9"/>
      <c r="BO42" s="90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8"/>
      <c r="CP42" s="88"/>
      <c r="CQ42" s="88"/>
      <c r="CR42" s="88"/>
      <c r="CS42" s="91"/>
      <c r="CT42" s="90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92"/>
      <c r="DV42" s="87"/>
      <c r="DW42" s="88"/>
      <c r="DX42" s="88"/>
      <c r="DY42" s="88"/>
      <c r="DZ42" s="88"/>
      <c r="EA42" s="88"/>
      <c r="EB42" s="88"/>
      <c r="EC42" s="88"/>
      <c r="ED42" s="89"/>
      <c r="EE42" s="90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9"/>
      <c r="FJ42" s="90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8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9"/>
      <c r="GO42" s="90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88"/>
      <c r="HH42" s="88"/>
      <c r="HI42" s="88"/>
      <c r="HJ42" s="88"/>
      <c r="HK42" s="88"/>
      <c r="HL42" s="88"/>
      <c r="HM42" s="88"/>
      <c r="HN42" s="88"/>
      <c r="HO42" s="92"/>
      <c r="HP42" s="87"/>
      <c r="HQ42" s="88"/>
      <c r="HR42" s="89"/>
      <c r="HS42" s="90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88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9"/>
      <c r="IX42" s="92"/>
      <c r="IY42" s="87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88"/>
      <c r="JQ42" s="88"/>
      <c r="JR42" s="88"/>
      <c r="JS42" s="88"/>
      <c r="JT42" s="88"/>
      <c r="JU42" s="88"/>
      <c r="JV42" s="88"/>
      <c r="JW42" s="88"/>
      <c r="JX42" s="88"/>
      <c r="JY42" s="88"/>
      <c r="JZ42" s="88"/>
      <c r="KA42" s="89"/>
      <c r="KB42" s="90"/>
      <c r="KC42" s="88"/>
      <c r="KD42" s="88"/>
      <c r="KE42" s="88"/>
      <c r="KF42" s="88"/>
      <c r="KG42" s="88"/>
    </row>
    <row r="43" customFormat="false" ht="22.5" hidden="false" customHeight="true" outlineLevel="1" collapsed="false">
      <c r="B43" s="75" t="s">
        <v>143</v>
      </c>
      <c r="C43" s="138" t="s">
        <v>144</v>
      </c>
      <c r="D43" s="127" t="s">
        <v>130</v>
      </c>
      <c r="E43" s="139" t="n">
        <v>6</v>
      </c>
      <c r="F43" s="140" t="n">
        <v>6</v>
      </c>
      <c r="G43" s="141" t="n">
        <f aca="false">E43-F43</f>
        <v>0</v>
      </c>
      <c r="H43" s="142" t="n">
        <v>2</v>
      </c>
      <c r="I43" s="132" t="s">
        <v>141</v>
      </c>
      <c r="J43" s="133" t="n">
        <v>46167</v>
      </c>
      <c r="K43" s="133" t="n">
        <v>46169</v>
      </c>
      <c r="L43" s="143" t="n">
        <f aca="false">K43-J43</f>
        <v>2</v>
      </c>
      <c r="M43" s="136" t="n">
        <f aca="false">IFERROR(F43/E43,"")</f>
        <v>1</v>
      </c>
      <c r="N43" s="87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9"/>
      <c r="AK43" s="90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9"/>
      <c r="BO43" s="90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8"/>
      <c r="CP43" s="88"/>
      <c r="CQ43" s="88"/>
      <c r="CR43" s="88"/>
      <c r="CS43" s="91"/>
      <c r="CT43" s="90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92"/>
      <c r="DV43" s="87"/>
      <c r="DW43" s="88"/>
      <c r="DX43" s="88"/>
      <c r="DY43" s="88"/>
      <c r="DZ43" s="88"/>
      <c r="EA43" s="88"/>
      <c r="EB43" s="88"/>
      <c r="EC43" s="88"/>
      <c r="ED43" s="89"/>
      <c r="EE43" s="90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9"/>
      <c r="FJ43" s="90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8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9"/>
      <c r="GO43" s="90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88"/>
      <c r="HH43" s="88"/>
      <c r="HI43" s="88"/>
      <c r="HJ43" s="88"/>
      <c r="HK43" s="88"/>
      <c r="HL43" s="88"/>
      <c r="HM43" s="88"/>
      <c r="HN43" s="88"/>
      <c r="HO43" s="92"/>
      <c r="HP43" s="87"/>
      <c r="HQ43" s="88"/>
      <c r="HR43" s="89"/>
      <c r="HS43" s="90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88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9"/>
      <c r="IX43" s="92"/>
      <c r="IY43" s="87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88"/>
      <c r="JQ43" s="88"/>
      <c r="JR43" s="88"/>
      <c r="JS43" s="88"/>
      <c r="JT43" s="88"/>
      <c r="JU43" s="88"/>
      <c r="JV43" s="88"/>
      <c r="JW43" s="88"/>
      <c r="JX43" s="88"/>
      <c r="JY43" s="88"/>
      <c r="JZ43" s="88"/>
      <c r="KA43" s="89"/>
      <c r="KB43" s="90"/>
      <c r="KC43" s="88"/>
      <c r="KD43" s="88"/>
      <c r="KE43" s="88"/>
      <c r="KF43" s="88"/>
      <c r="KG43" s="88"/>
    </row>
    <row r="44" customFormat="false" ht="22.5" hidden="false" customHeight="true" outlineLevel="1" collapsed="false">
      <c r="B44" s="75" t="s">
        <v>145</v>
      </c>
      <c r="C44" s="138" t="s">
        <v>146</v>
      </c>
      <c r="D44" s="127" t="s">
        <v>130</v>
      </c>
      <c r="E44" s="139" t="n">
        <v>12</v>
      </c>
      <c r="F44" s="140" t="n">
        <v>12</v>
      </c>
      <c r="G44" s="141" t="n">
        <f aca="false">E44-F44</f>
        <v>0</v>
      </c>
      <c r="H44" s="142" t="n">
        <v>3</v>
      </c>
      <c r="I44" s="132" t="s">
        <v>143</v>
      </c>
      <c r="J44" s="133" t="n">
        <v>46169</v>
      </c>
      <c r="K44" s="133" t="n">
        <v>46172</v>
      </c>
      <c r="L44" s="143" t="n">
        <f aca="false">K44-J44</f>
        <v>3</v>
      </c>
      <c r="M44" s="136" t="n">
        <f aca="false">IFERROR(F44/E44,"")</f>
        <v>1</v>
      </c>
      <c r="N44" s="87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9"/>
      <c r="AK44" s="90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9"/>
      <c r="BO44" s="90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88"/>
      <c r="CO44" s="88"/>
      <c r="CP44" s="88"/>
      <c r="CQ44" s="88"/>
      <c r="CR44" s="88"/>
      <c r="CS44" s="91"/>
      <c r="CT44" s="90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92"/>
      <c r="DV44" s="87"/>
      <c r="DW44" s="88"/>
      <c r="DX44" s="88"/>
      <c r="DY44" s="88"/>
      <c r="DZ44" s="88"/>
      <c r="EA44" s="88"/>
      <c r="EB44" s="88"/>
      <c r="EC44" s="88"/>
      <c r="ED44" s="89"/>
      <c r="EE44" s="90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88"/>
      <c r="EW44" s="88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9"/>
      <c r="FJ44" s="90"/>
      <c r="FK44" s="88"/>
      <c r="FL44" s="88"/>
      <c r="FM44" s="88"/>
      <c r="FN44" s="88"/>
      <c r="FO44" s="88"/>
      <c r="FP44" s="88"/>
      <c r="FQ44" s="88"/>
      <c r="FR44" s="88"/>
      <c r="FS44" s="88"/>
      <c r="FT44" s="88"/>
      <c r="FU44" s="88"/>
      <c r="FV44" s="88"/>
      <c r="FW44" s="88"/>
      <c r="FX44" s="88"/>
      <c r="FY44" s="88"/>
      <c r="FZ44" s="88"/>
      <c r="GA44" s="88"/>
      <c r="GB44" s="88"/>
      <c r="GC44" s="88"/>
      <c r="GD44" s="88"/>
      <c r="GE44" s="88"/>
      <c r="GF44" s="88"/>
      <c r="GG44" s="88"/>
      <c r="GH44" s="88"/>
      <c r="GI44" s="88"/>
      <c r="GJ44" s="88"/>
      <c r="GK44" s="88"/>
      <c r="GL44" s="88"/>
      <c r="GM44" s="88"/>
      <c r="GN44" s="89"/>
      <c r="GO44" s="90"/>
      <c r="GP44" s="88"/>
      <c r="GQ44" s="88"/>
      <c r="GR44" s="88"/>
      <c r="GS44" s="88"/>
      <c r="GT44" s="88"/>
      <c r="GU44" s="88"/>
      <c r="GV44" s="88"/>
      <c r="GW44" s="88"/>
      <c r="GX44" s="88"/>
      <c r="GY44" s="88"/>
      <c r="GZ44" s="88"/>
      <c r="HA44" s="88"/>
      <c r="HB44" s="88"/>
      <c r="HC44" s="88"/>
      <c r="HD44" s="88"/>
      <c r="HE44" s="88"/>
      <c r="HF44" s="88"/>
      <c r="HG44" s="88"/>
      <c r="HH44" s="88"/>
      <c r="HI44" s="88"/>
      <c r="HJ44" s="88"/>
      <c r="HK44" s="88"/>
      <c r="HL44" s="88"/>
      <c r="HM44" s="88"/>
      <c r="HN44" s="88"/>
      <c r="HO44" s="92"/>
      <c r="HP44" s="87"/>
      <c r="HQ44" s="88"/>
      <c r="HR44" s="89"/>
      <c r="HS44" s="90"/>
      <c r="HT44" s="88"/>
      <c r="HU44" s="88"/>
      <c r="HV44" s="88"/>
      <c r="HW44" s="88"/>
      <c r="HX44" s="88"/>
      <c r="HY44" s="88"/>
      <c r="HZ44" s="88"/>
      <c r="IA44" s="88"/>
      <c r="IB44" s="88"/>
      <c r="IC44" s="88"/>
      <c r="ID44" s="88"/>
      <c r="IE44" s="88"/>
      <c r="IF44" s="88"/>
      <c r="IG44" s="88"/>
      <c r="IH44" s="88"/>
      <c r="II44" s="88"/>
      <c r="IJ44" s="88"/>
      <c r="IK44" s="88"/>
      <c r="IL44" s="88"/>
      <c r="IM44" s="88"/>
      <c r="IN44" s="88"/>
      <c r="IO44" s="88"/>
      <c r="IP44" s="88"/>
      <c r="IQ44" s="88"/>
      <c r="IR44" s="88"/>
      <c r="IS44" s="88"/>
      <c r="IT44" s="88"/>
      <c r="IU44" s="88"/>
      <c r="IV44" s="88"/>
      <c r="IW44" s="89"/>
      <c r="IX44" s="92"/>
      <c r="IY44" s="87"/>
      <c r="IZ44" s="88"/>
      <c r="JA44" s="88"/>
      <c r="JB44" s="88"/>
      <c r="JC44" s="88"/>
      <c r="JD44" s="88"/>
      <c r="JE44" s="88"/>
      <c r="JF44" s="88"/>
      <c r="JG44" s="88"/>
      <c r="JH44" s="88"/>
      <c r="JI44" s="88"/>
      <c r="JJ44" s="88"/>
      <c r="JK44" s="88"/>
      <c r="JL44" s="88"/>
      <c r="JM44" s="88"/>
      <c r="JN44" s="88"/>
      <c r="JO44" s="88"/>
      <c r="JP44" s="88"/>
      <c r="JQ44" s="88"/>
      <c r="JR44" s="88"/>
      <c r="JS44" s="88"/>
      <c r="JT44" s="88"/>
      <c r="JU44" s="88"/>
      <c r="JV44" s="88"/>
      <c r="JW44" s="88"/>
      <c r="JX44" s="88"/>
      <c r="JY44" s="88"/>
      <c r="JZ44" s="88"/>
      <c r="KA44" s="89"/>
      <c r="KB44" s="90"/>
      <c r="KC44" s="88"/>
      <c r="KD44" s="88"/>
      <c r="KE44" s="88"/>
      <c r="KF44" s="88"/>
      <c r="KG44" s="88"/>
    </row>
    <row r="45" customFormat="false" ht="22.5" hidden="false" customHeight="true" outlineLevel="1" collapsed="false">
      <c r="B45" s="75" t="s">
        <v>147</v>
      </c>
      <c r="C45" s="138" t="s">
        <v>148</v>
      </c>
      <c r="D45" s="127" t="s">
        <v>130</v>
      </c>
      <c r="E45" s="139" t="n">
        <v>5</v>
      </c>
      <c r="F45" s="140" t="n">
        <v>5</v>
      </c>
      <c r="G45" s="141" t="n">
        <f aca="false">E45-F45</f>
        <v>0</v>
      </c>
      <c r="H45" s="142" t="n">
        <v>3</v>
      </c>
      <c r="I45" s="132" t="s">
        <v>143</v>
      </c>
      <c r="J45" s="133" t="n">
        <v>46173</v>
      </c>
      <c r="K45" s="133" t="n">
        <v>46175</v>
      </c>
      <c r="L45" s="143" t="n">
        <f aca="false">K45-J45</f>
        <v>2</v>
      </c>
      <c r="M45" s="136" t="n">
        <f aca="false">IFERROR(F45/E45,"")</f>
        <v>1</v>
      </c>
      <c r="N45" s="87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9"/>
      <c r="AK45" s="90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9"/>
      <c r="BO45" s="90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91"/>
      <c r="CT45" s="90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92"/>
      <c r="DV45" s="87"/>
      <c r="DW45" s="88"/>
      <c r="DX45" s="88"/>
      <c r="DY45" s="88"/>
      <c r="DZ45" s="88"/>
      <c r="EA45" s="88"/>
      <c r="EB45" s="88"/>
      <c r="EC45" s="88"/>
      <c r="ED45" s="89"/>
      <c r="EE45" s="90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88"/>
      <c r="EW45" s="88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9"/>
      <c r="FJ45" s="90"/>
      <c r="FK45" s="88"/>
      <c r="FL45" s="88"/>
      <c r="FM45" s="88"/>
      <c r="FN45" s="88"/>
      <c r="FO45" s="88"/>
      <c r="FP45" s="88"/>
      <c r="FQ45" s="88"/>
      <c r="FR45" s="88"/>
      <c r="FS45" s="88"/>
      <c r="FT45" s="88"/>
      <c r="FU45" s="88"/>
      <c r="FV45" s="88"/>
      <c r="FW45" s="88"/>
      <c r="FX45" s="88"/>
      <c r="FY45" s="88"/>
      <c r="FZ45" s="88"/>
      <c r="GA45" s="88"/>
      <c r="GB45" s="88"/>
      <c r="GC45" s="88"/>
      <c r="GD45" s="88"/>
      <c r="GE45" s="88"/>
      <c r="GF45" s="88"/>
      <c r="GG45" s="88"/>
      <c r="GH45" s="88"/>
      <c r="GI45" s="88"/>
      <c r="GJ45" s="88"/>
      <c r="GK45" s="88"/>
      <c r="GL45" s="88"/>
      <c r="GM45" s="88"/>
      <c r="GN45" s="89"/>
      <c r="GO45" s="90"/>
      <c r="GP45" s="88"/>
      <c r="GQ45" s="88"/>
      <c r="GR45" s="88"/>
      <c r="GS45" s="88"/>
      <c r="GT45" s="88"/>
      <c r="GU45" s="88"/>
      <c r="GV45" s="88"/>
      <c r="GW45" s="88"/>
      <c r="GX45" s="88"/>
      <c r="GY45" s="88"/>
      <c r="GZ45" s="88"/>
      <c r="HA45" s="88"/>
      <c r="HB45" s="88"/>
      <c r="HC45" s="88"/>
      <c r="HD45" s="88"/>
      <c r="HE45" s="88"/>
      <c r="HF45" s="88"/>
      <c r="HG45" s="88"/>
      <c r="HH45" s="88"/>
      <c r="HI45" s="88"/>
      <c r="HJ45" s="88"/>
      <c r="HK45" s="88"/>
      <c r="HL45" s="88"/>
      <c r="HM45" s="88"/>
      <c r="HN45" s="88"/>
      <c r="HO45" s="92"/>
      <c r="HP45" s="87"/>
      <c r="HQ45" s="88"/>
      <c r="HR45" s="89"/>
      <c r="HS45" s="90"/>
      <c r="HT45" s="88"/>
      <c r="HU45" s="88"/>
      <c r="HV45" s="88"/>
      <c r="HW45" s="88"/>
      <c r="HX45" s="88"/>
      <c r="HY45" s="88"/>
      <c r="HZ45" s="88"/>
      <c r="IA45" s="88"/>
      <c r="IB45" s="88"/>
      <c r="IC45" s="88"/>
      <c r="ID45" s="88"/>
      <c r="IE45" s="88"/>
      <c r="IF45" s="88"/>
      <c r="IG45" s="88"/>
      <c r="IH45" s="88"/>
      <c r="II45" s="88"/>
      <c r="IJ45" s="88"/>
      <c r="IK45" s="88"/>
      <c r="IL45" s="88"/>
      <c r="IM45" s="88"/>
      <c r="IN45" s="88"/>
      <c r="IO45" s="88"/>
      <c r="IP45" s="88"/>
      <c r="IQ45" s="88"/>
      <c r="IR45" s="88"/>
      <c r="IS45" s="88"/>
      <c r="IT45" s="88"/>
      <c r="IU45" s="88"/>
      <c r="IV45" s="88"/>
      <c r="IW45" s="89"/>
      <c r="IX45" s="92"/>
      <c r="IY45" s="87"/>
      <c r="IZ45" s="88"/>
      <c r="JA45" s="88"/>
      <c r="JB45" s="88"/>
      <c r="JC45" s="88"/>
      <c r="JD45" s="88"/>
      <c r="JE45" s="88"/>
      <c r="JF45" s="88"/>
      <c r="JG45" s="88"/>
      <c r="JH45" s="88"/>
      <c r="JI45" s="88"/>
      <c r="JJ45" s="88"/>
      <c r="JK45" s="88"/>
      <c r="JL45" s="88"/>
      <c r="JM45" s="88"/>
      <c r="JN45" s="88"/>
      <c r="JO45" s="88"/>
      <c r="JP45" s="88"/>
      <c r="JQ45" s="88"/>
      <c r="JR45" s="88"/>
      <c r="JS45" s="88"/>
      <c r="JT45" s="88"/>
      <c r="JU45" s="88"/>
      <c r="JV45" s="88"/>
      <c r="JW45" s="88"/>
      <c r="JX45" s="88"/>
      <c r="JY45" s="88"/>
      <c r="JZ45" s="88"/>
      <c r="KA45" s="89"/>
      <c r="KB45" s="90"/>
      <c r="KC45" s="88"/>
      <c r="KD45" s="88"/>
      <c r="KE45" s="88"/>
      <c r="KF45" s="88"/>
      <c r="KG45" s="88"/>
    </row>
    <row r="46" customFormat="false" ht="22.5" hidden="false" customHeight="true" outlineLevel="1" collapsed="false">
      <c r="B46" s="75" t="s">
        <v>149</v>
      </c>
      <c r="C46" s="138" t="s">
        <v>150</v>
      </c>
      <c r="D46" s="127" t="s">
        <v>130</v>
      </c>
      <c r="E46" s="139" t="n">
        <v>6</v>
      </c>
      <c r="F46" s="140" t="n">
        <v>6</v>
      </c>
      <c r="G46" s="141" t="n">
        <f aca="false">E46-F46</f>
        <v>0</v>
      </c>
      <c r="H46" s="142" t="n">
        <v>3</v>
      </c>
      <c r="I46" s="132" t="s">
        <v>143</v>
      </c>
      <c r="J46" s="133" t="n">
        <v>46168</v>
      </c>
      <c r="K46" s="133" t="n">
        <v>46175</v>
      </c>
      <c r="L46" s="143" t="n">
        <f aca="false">K46-J46</f>
        <v>7</v>
      </c>
      <c r="M46" s="136" t="n">
        <f aca="false">IFERROR(F46/E46,"")</f>
        <v>1</v>
      </c>
      <c r="N46" s="87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9"/>
      <c r="AK46" s="90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9"/>
      <c r="BO46" s="90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91"/>
      <c r="CT46" s="90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92"/>
      <c r="DV46" s="87"/>
      <c r="DW46" s="88"/>
      <c r="DX46" s="88"/>
      <c r="DY46" s="88"/>
      <c r="DZ46" s="88"/>
      <c r="EA46" s="88"/>
      <c r="EB46" s="88"/>
      <c r="EC46" s="88"/>
      <c r="ED46" s="89"/>
      <c r="EE46" s="90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88"/>
      <c r="EW46" s="88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9"/>
      <c r="FJ46" s="90"/>
      <c r="FK46" s="88"/>
      <c r="FL46" s="88"/>
      <c r="FM46" s="88"/>
      <c r="FN46" s="88"/>
      <c r="FO46" s="88"/>
      <c r="FP46" s="88"/>
      <c r="FQ46" s="88"/>
      <c r="FR46" s="88"/>
      <c r="FS46" s="88"/>
      <c r="FT46" s="88"/>
      <c r="FU46" s="88"/>
      <c r="FV46" s="88"/>
      <c r="FW46" s="88"/>
      <c r="FX46" s="88"/>
      <c r="FY46" s="88"/>
      <c r="FZ46" s="88"/>
      <c r="GA46" s="88"/>
      <c r="GB46" s="88"/>
      <c r="GC46" s="88"/>
      <c r="GD46" s="88"/>
      <c r="GE46" s="88"/>
      <c r="GF46" s="88"/>
      <c r="GG46" s="88"/>
      <c r="GH46" s="88"/>
      <c r="GI46" s="88"/>
      <c r="GJ46" s="88"/>
      <c r="GK46" s="88"/>
      <c r="GL46" s="88"/>
      <c r="GM46" s="88"/>
      <c r="GN46" s="89"/>
      <c r="GO46" s="90"/>
      <c r="GP46" s="88"/>
      <c r="GQ46" s="88"/>
      <c r="GR46" s="88"/>
      <c r="GS46" s="88"/>
      <c r="GT46" s="88"/>
      <c r="GU46" s="88"/>
      <c r="GV46" s="88"/>
      <c r="GW46" s="88"/>
      <c r="GX46" s="88"/>
      <c r="GY46" s="88"/>
      <c r="GZ46" s="88"/>
      <c r="HA46" s="88"/>
      <c r="HB46" s="88"/>
      <c r="HC46" s="88"/>
      <c r="HD46" s="88"/>
      <c r="HE46" s="88"/>
      <c r="HF46" s="88"/>
      <c r="HG46" s="88"/>
      <c r="HH46" s="88"/>
      <c r="HI46" s="88"/>
      <c r="HJ46" s="88"/>
      <c r="HK46" s="88"/>
      <c r="HL46" s="88"/>
      <c r="HM46" s="88"/>
      <c r="HN46" s="88"/>
      <c r="HO46" s="92"/>
      <c r="HP46" s="87"/>
      <c r="HQ46" s="88"/>
      <c r="HR46" s="89"/>
      <c r="HS46" s="90"/>
      <c r="HT46" s="88"/>
      <c r="HU46" s="88"/>
      <c r="HV46" s="88"/>
      <c r="HW46" s="88"/>
      <c r="HX46" s="88"/>
      <c r="HY46" s="88"/>
      <c r="HZ46" s="88"/>
      <c r="IA46" s="88"/>
      <c r="IB46" s="88"/>
      <c r="IC46" s="88"/>
      <c r="ID46" s="88"/>
      <c r="IE46" s="88"/>
      <c r="IF46" s="88"/>
      <c r="IG46" s="88"/>
      <c r="IH46" s="88"/>
      <c r="II46" s="88"/>
      <c r="IJ46" s="88"/>
      <c r="IK46" s="88"/>
      <c r="IL46" s="88"/>
      <c r="IM46" s="88"/>
      <c r="IN46" s="88"/>
      <c r="IO46" s="88"/>
      <c r="IP46" s="88"/>
      <c r="IQ46" s="88"/>
      <c r="IR46" s="88"/>
      <c r="IS46" s="88"/>
      <c r="IT46" s="88"/>
      <c r="IU46" s="88"/>
      <c r="IV46" s="88"/>
      <c r="IW46" s="89"/>
      <c r="IX46" s="92"/>
      <c r="IY46" s="87"/>
      <c r="IZ46" s="88"/>
      <c r="JA46" s="88"/>
      <c r="JB46" s="88"/>
      <c r="JC46" s="88"/>
      <c r="JD46" s="88"/>
      <c r="JE46" s="88"/>
      <c r="JF46" s="88"/>
      <c r="JG46" s="88"/>
      <c r="JH46" s="88"/>
      <c r="JI46" s="88"/>
      <c r="JJ46" s="88"/>
      <c r="JK46" s="88"/>
      <c r="JL46" s="88"/>
      <c r="JM46" s="88"/>
      <c r="JN46" s="88"/>
      <c r="JO46" s="88"/>
      <c r="JP46" s="88"/>
      <c r="JQ46" s="88"/>
      <c r="JR46" s="88"/>
      <c r="JS46" s="88"/>
      <c r="JT46" s="88"/>
      <c r="JU46" s="88"/>
      <c r="JV46" s="88"/>
      <c r="JW46" s="88"/>
      <c r="JX46" s="88"/>
      <c r="JY46" s="88"/>
      <c r="JZ46" s="88"/>
      <c r="KA46" s="89"/>
      <c r="KB46" s="90"/>
      <c r="KC46" s="88"/>
      <c r="KD46" s="88"/>
      <c r="KE46" s="88"/>
      <c r="KF46" s="88"/>
      <c r="KG46" s="88"/>
    </row>
    <row r="47" customFormat="false" ht="22.5" hidden="false" customHeight="true" outlineLevel="1" collapsed="false">
      <c r="B47" s="75" t="s">
        <v>151</v>
      </c>
      <c r="C47" s="138" t="s">
        <v>152</v>
      </c>
      <c r="D47" s="127" t="s">
        <v>130</v>
      </c>
      <c r="E47" s="139" t="n">
        <v>2</v>
      </c>
      <c r="F47" s="140" t="n">
        <v>2</v>
      </c>
      <c r="G47" s="141" t="n">
        <f aca="false">E47-F47</f>
        <v>0</v>
      </c>
      <c r="H47" s="142" t="n">
        <v>3</v>
      </c>
      <c r="I47" s="132" t="s">
        <v>143</v>
      </c>
      <c r="J47" s="133" t="n">
        <v>46178</v>
      </c>
      <c r="K47" s="133" t="n">
        <v>46180</v>
      </c>
      <c r="L47" s="143" t="n">
        <f aca="false">K47-J47</f>
        <v>2</v>
      </c>
      <c r="M47" s="136" t="n">
        <f aca="false">IFERROR(F47/E47,"")</f>
        <v>1</v>
      </c>
      <c r="N47" s="87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9"/>
      <c r="AK47" s="90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9"/>
      <c r="BO47" s="90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91"/>
      <c r="CT47" s="90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92"/>
      <c r="DV47" s="87"/>
      <c r="DW47" s="88"/>
      <c r="DX47" s="88"/>
      <c r="DY47" s="88"/>
      <c r="DZ47" s="88"/>
      <c r="EA47" s="88"/>
      <c r="EB47" s="88"/>
      <c r="EC47" s="88"/>
      <c r="ED47" s="89"/>
      <c r="EE47" s="90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88"/>
      <c r="EW47" s="88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9"/>
      <c r="FJ47" s="90"/>
      <c r="FK47" s="88"/>
      <c r="FL47" s="88"/>
      <c r="FM47" s="88"/>
      <c r="FN47" s="88"/>
      <c r="FO47" s="88"/>
      <c r="FP47" s="88"/>
      <c r="FQ47" s="88"/>
      <c r="FR47" s="88"/>
      <c r="FS47" s="88"/>
      <c r="FT47" s="88"/>
      <c r="FU47" s="88"/>
      <c r="FV47" s="88"/>
      <c r="FW47" s="88"/>
      <c r="FX47" s="88"/>
      <c r="FY47" s="88"/>
      <c r="FZ47" s="88"/>
      <c r="GA47" s="88"/>
      <c r="GB47" s="88"/>
      <c r="GC47" s="88"/>
      <c r="GD47" s="88"/>
      <c r="GE47" s="88"/>
      <c r="GF47" s="88"/>
      <c r="GG47" s="88"/>
      <c r="GH47" s="88"/>
      <c r="GI47" s="88"/>
      <c r="GJ47" s="88"/>
      <c r="GK47" s="88"/>
      <c r="GL47" s="88"/>
      <c r="GM47" s="88"/>
      <c r="GN47" s="89"/>
      <c r="GO47" s="90"/>
      <c r="GP47" s="88"/>
      <c r="GQ47" s="88"/>
      <c r="GR47" s="88"/>
      <c r="GS47" s="88"/>
      <c r="GT47" s="88"/>
      <c r="GU47" s="88"/>
      <c r="GV47" s="88"/>
      <c r="GW47" s="88"/>
      <c r="GX47" s="88"/>
      <c r="GY47" s="88"/>
      <c r="GZ47" s="88"/>
      <c r="HA47" s="88"/>
      <c r="HB47" s="88"/>
      <c r="HC47" s="88"/>
      <c r="HD47" s="88"/>
      <c r="HE47" s="88"/>
      <c r="HF47" s="88"/>
      <c r="HG47" s="88"/>
      <c r="HH47" s="88"/>
      <c r="HI47" s="88"/>
      <c r="HJ47" s="88"/>
      <c r="HK47" s="88"/>
      <c r="HL47" s="88"/>
      <c r="HM47" s="88"/>
      <c r="HN47" s="88"/>
      <c r="HO47" s="92"/>
      <c r="HP47" s="87"/>
      <c r="HQ47" s="88"/>
      <c r="HR47" s="89"/>
      <c r="HS47" s="90"/>
      <c r="HT47" s="88"/>
      <c r="HU47" s="88"/>
      <c r="HV47" s="88"/>
      <c r="HW47" s="88"/>
      <c r="HX47" s="88"/>
      <c r="HY47" s="88"/>
      <c r="HZ47" s="88"/>
      <c r="IA47" s="88"/>
      <c r="IB47" s="88"/>
      <c r="IC47" s="88"/>
      <c r="ID47" s="88"/>
      <c r="IE47" s="88"/>
      <c r="IF47" s="88"/>
      <c r="IG47" s="88"/>
      <c r="IH47" s="88"/>
      <c r="II47" s="88"/>
      <c r="IJ47" s="88"/>
      <c r="IK47" s="88"/>
      <c r="IL47" s="88"/>
      <c r="IM47" s="88"/>
      <c r="IN47" s="88"/>
      <c r="IO47" s="88"/>
      <c r="IP47" s="88"/>
      <c r="IQ47" s="88"/>
      <c r="IR47" s="88"/>
      <c r="IS47" s="88"/>
      <c r="IT47" s="88"/>
      <c r="IU47" s="88"/>
      <c r="IV47" s="88"/>
      <c r="IW47" s="89"/>
      <c r="IX47" s="92"/>
      <c r="IY47" s="87"/>
      <c r="IZ47" s="88"/>
      <c r="JA47" s="88"/>
      <c r="JB47" s="88"/>
      <c r="JC47" s="88"/>
      <c r="JD47" s="88"/>
      <c r="JE47" s="88"/>
      <c r="JF47" s="88"/>
      <c r="JG47" s="88"/>
      <c r="JH47" s="88"/>
      <c r="JI47" s="88"/>
      <c r="JJ47" s="88"/>
      <c r="JK47" s="88"/>
      <c r="JL47" s="88"/>
      <c r="JM47" s="88"/>
      <c r="JN47" s="88"/>
      <c r="JO47" s="88"/>
      <c r="JP47" s="88"/>
      <c r="JQ47" s="88"/>
      <c r="JR47" s="88"/>
      <c r="JS47" s="88"/>
      <c r="JT47" s="88"/>
      <c r="JU47" s="88"/>
      <c r="JV47" s="88"/>
      <c r="JW47" s="88"/>
      <c r="JX47" s="88"/>
      <c r="JY47" s="88"/>
      <c r="JZ47" s="88"/>
      <c r="KA47" s="89"/>
      <c r="KB47" s="90"/>
      <c r="KC47" s="88"/>
      <c r="KD47" s="88"/>
      <c r="KE47" s="88"/>
      <c r="KF47" s="88"/>
      <c r="KG47" s="88"/>
    </row>
    <row r="48" customFormat="false" ht="22.5" hidden="false" customHeight="true" outlineLevel="1" collapsed="false">
      <c r="B48" s="75" t="s">
        <v>153</v>
      </c>
      <c r="C48" s="138" t="s">
        <v>154</v>
      </c>
      <c r="D48" s="127" t="s">
        <v>155</v>
      </c>
      <c r="E48" s="139" t="n">
        <v>4</v>
      </c>
      <c r="F48" s="140" t="n">
        <v>4</v>
      </c>
      <c r="G48" s="141" t="n">
        <f aca="false">E48-F48</f>
        <v>0</v>
      </c>
      <c r="H48" s="142" t="n">
        <v>4</v>
      </c>
      <c r="I48" s="132" t="s">
        <v>151</v>
      </c>
      <c r="J48" s="133" t="n">
        <v>46188</v>
      </c>
      <c r="K48" s="133" t="n">
        <v>46188</v>
      </c>
      <c r="L48" s="143" t="n">
        <f aca="false">K48-J48</f>
        <v>0</v>
      </c>
      <c r="M48" s="136" t="n">
        <f aca="false">IFERROR(F48/E48,"")</f>
        <v>1</v>
      </c>
      <c r="N48" s="87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9"/>
      <c r="AK48" s="90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9"/>
      <c r="BO48" s="90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91"/>
      <c r="CT48" s="90"/>
      <c r="CU48" s="88"/>
      <c r="CV48" s="88"/>
      <c r="CW48" s="88"/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  <c r="DL48" s="88"/>
      <c r="DM48" s="88"/>
      <c r="DN48" s="88"/>
      <c r="DO48" s="88"/>
      <c r="DP48" s="88"/>
      <c r="DQ48" s="88"/>
      <c r="DR48" s="88"/>
      <c r="DS48" s="88"/>
      <c r="DT48" s="88"/>
      <c r="DU48" s="92"/>
      <c r="DV48" s="87"/>
      <c r="DW48" s="88"/>
      <c r="DX48" s="88"/>
      <c r="DY48" s="88"/>
      <c r="DZ48" s="88"/>
      <c r="EA48" s="88"/>
      <c r="EB48" s="88"/>
      <c r="EC48" s="88"/>
      <c r="ED48" s="89"/>
      <c r="EE48" s="90"/>
      <c r="EF48" s="88"/>
      <c r="EG48" s="88"/>
      <c r="EH48" s="88"/>
      <c r="EI48" s="88"/>
      <c r="EJ48" s="88"/>
      <c r="EK48" s="88"/>
      <c r="EL48" s="88"/>
      <c r="EM48" s="88"/>
      <c r="EN48" s="88"/>
      <c r="EO48" s="88"/>
      <c r="EP48" s="88"/>
      <c r="EQ48" s="88"/>
      <c r="ER48" s="88"/>
      <c r="ES48" s="88"/>
      <c r="ET48" s="88"/>
      <c r="EU48" s="88"/>
      <c r="EV48" s="88"/>
      <c r="EW48" s="88"/>
      <c r="EX48" s="88"/>
      <c r="EY48" s="88"/>
      <c r="EZ48" s="88"/>
      <c r="FA48" s="88"/>
      <c r="FB48" s="88"/>
      <c r="FC48" s="88"/>
      <c r="FD48" s="88"/>
      <c r="FE48" s="88"/>
      <c r="FF48" s="88"/>
      <c r="FG48" s="88"/>
      <c r="FH48" s="88"/>
      <c r="FI48" s="89"/>
      <c r="FJ48" s="90"/>
      <c r="FK48" s="88"/>
      <c r="FL48" s="88"/>
      <c r="FM48" s="88"/>
      <c r="FN48" s="88"/>
      <c r="FO48" s="88"/>
      <c r="FP48" s="88"/>
      <c r="FQ48" s="88"/>
      <c r="FR48" s="88"/>
      <c r="FS48" s="88"/>
      <c r="FT48" s="88"/>
      <c r="FU48" s="88"/>
      <c r="FV48" s="88"/>
      <c r="FW48" s="88"/>
      <c r="FX48" s="88"/>
      <c r="FY48" s="88"/>
      <c r="FZ48" s="88"/>
      <c r="GA48" s="88"/>
      <c r="GB48" s="88"/>
      <c r="GC48" s="88"/>
      <c r="GD48" s="88"/>
      <c r="GE48" s="88"/>
      <c r="GF48" s="88"/>
      <c r="GG48" s="88"/>
      <c r="GH48" s="88"/>
      <c r="GI48" s="88"/>
      <c r="GJ48" s="88"/>
      <c r="GK48" s="88"/>
      <c r="GL48" s="88"/>
      <c r="GM48" s="88"/>
      <c r="GN48" s="89"/>
      <c r="GO48" s="90"/>
      <c r="GP48" s="88"/>
      <c r="GQ48" s="88"/>
      <c r="GR48" s="88"/>
      <c r="GS48" s="88"/>
      <c r="GT48" s="88"/>
      <c r="GU48" s="88"/>
      <c r="GV48" s="88"/>
      <c r="GW48" s="88"/>
      <c r="GX48" s="88"/>
      <c r="GY48" s="88"/>
      <c r="GZ48" s="88"/>
      <c r="HA48" s="88"/>
      <c r="HB48" s="88"/>
      <c r="HC48" s="88"/>
      <c r="HD48" s="88"/>
      <c r="HE48" s="88"/>
      <c r="HF48" s="88"/>
      <c r="HG48" s="88"/>
      <c r="HH48" s="88"/>
      <c r="HI48" s="88"/>
      <c r="HJ48" s="88"/>
      <c r="HK48" s="88"/>
      <c r="HL48" s="88"/>
      <c r="HM48" s="88"/>
      <c r="HN48" s="88"/>
      <c r="HO48" s="92"/>
      <c r="HP48" s="87"/>
      <c r="HQ48" s="88"/>
      <c r="HR48" s="89"/>
      <c r="HS48" s="90"/>
      <c r="HT48" s="88"/>
      <c r="HU48" s="88"/>
      <c r="HV48" s="88"/>
      <c r="HW48" s="88"/>
      <c r="HX48" s="88"/>
      <c r="HY48" s="88"/>
      <c r="HZ48" s="88"/>
      <c r="IA48" s="88"/>
      <c r="IB48" s="88"/>
      <c r="IC48" s="88"/>
      <c r="ID48" s="88"/>
      <c r="IE48" s="88"/>
      <c r="IF48" s="88"/>
      <c r="IG48" s="88"/>
      <c r="IH48" s="88"/>
      <c r="II48" s="88"/>
      <c r="IJ48" s="88"/>
      <c r="IK48" s="88"/>
      <c r="IL48" s="88"/>
      <c r="IM48" s="88"/>
      <c r="IN48" s="88"/>
      <c r="IO48" s="88"/>
      <c r="IP48" s="88"/>
      <c r="IQ48" s="88"/>
      <c r="IR48" s="88"/>
      <c r="IS48" s="88"/>
      <c r="IT48" s="88"/>
      <c r="IU48" s="88"/>
      <c r="IV48" s="88"/>
      <c r="IW48" s="89"/>
      <c r="IX48" s="92"/>
      <c r="IY48" s="87"/>
      <c r="IZ48" s="88"/>
      <c r="JA48" s="88"/>
      <c r="JB48" s="88"/>
      <c r="JC48" s="88"/>
      <c r="JD48" s="88"/>
      <c r="JE48" s="88"/>
      <c r="JF48" s="88"/>
      <c r="JG48" s="88"/>
      <c r="JH48" s="88"/>
      <c r="JI48" s="88"/>
      <c r="JJ48" s="88"/>
      <c r="JK48" s="88"/>
      <c r="JL48" s="88"/>
      <c r="JM48" s="88"/>
      <c r="JN48" s="88"/>
      <c r="JO48" s="88"/>
      <c r="JP48" s="88"/>
      <c r="JQ48" s="88"/>
      <c r="JR48" s="88"/>
      <c r="JS48" s="88"/>
      <c r="JT48" s="88"/>
      <c r="JU48" s="88"/>
      <c r="JV48" s="88"/>
      <c r="JW48" s="88"/>
      <c r="JX48" s="88"/>
      <c r="JY48" s="88"/>
      <c r="JZ48" s="88"/>
      <c r="KA48" s="89"/>
      <c r="KB48" s="90"/>
      <c r="KC48" s="88"/>
      <c r="KD48" s="88"/>
      <c r="KE48" s="88"/>
      <c r="KF48" s="88"/>
      <c r="KG48" s="88"/>
    </row>
    <row r="49" customFormat="false" ht="22.5" hidden="false" customHeight="true" outlineLevel="1" collapsed="false">
      <c r="B49" s="75" t="s">
        <v>156</v>
      </c>
      <c r="C49" s="138" t="s">
        <v>157</v>
      </c>
      <c r="D49" s="127" t="s">
        <v>158</v>
      </c>
      <c r="E49" s="139" t="n">
        <v>3</v>
      </c>
      <c r="F49" s="140" t="n">
        <v>3</v>
      </c>
      <c r="G49" s="141" t="n">
        <f aca="false">E49-F49</f>
        <v>0</v>
      </c>
      <c r="H49" s="142" t="n">
        <v>4</v>
      </c>
      <c r="I49" s="132" t="s">
        <v>153</v>
      </c>
      <c r="J49" s="133" t="n">
        <v>46188</v>
      </c>
      <c r="K49" s="133" t="n">
        <v>46188</v>
      </c>
      <c r="L49" s="143" t="n">
        <f aca="false">K49-J49</f>
        <v>0</v>
      </c>
      <c r="M49" s="136" t="n">
        <f aca="false">IFERROR(F49/E49,"")</f>
        <v>1</v>
      </c>
      <c r="N49" s="87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9"/>
      <c r="AK49" s="90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9"/>
      <c r="BO49" s="90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91"/>
      <c r="CT49" s="90"/>
      <c r="CU49" s="88"/>
      <c r="CV49" s="88"/>
      <c r="CW49" s="88"/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  <c r="DL49" s="88"/>
      <c r="DM49" s="88"/>
      <c r="DN49" s="88"/>
      <c r="DO49" s="88"/>
      <c r="DP49" s="88"/>
      <c r="DQ49" s="88"/>
      <c r="DR49" s="88"/>
      <c r="DS49" s="88"/>
      <c r="DT49" s="88"/>
      <c r="DU49" s="92"/>
      <c r="DV49" s="87"/>
      <c r="DW49" s="88"/>
      <c r="DX49" s="88"/>
      <c r="DY49" s="88"/>
      <c r="DZ49" s="88"/>
      <c r="EA49" s="88"/>
      <c r="EB49" s="88"/>
      <c r="EC49" s="88"/>
      <c r="ED49" s="89"/>
      <c r="EE49" s="90"/>
      <c r="EF49" s="88"/>
      <c r="EG49" s="88"/>
      <c r="EH49" s="88"/>
      <c r="EI49" s="88"/>
      <c r="EJ49" s="88"/>
      <c r="EK49" s="88"/>
      <c r="EL49" s="88"/>
      <c r="EM49" s="88"/>
      <c r="EN49" s="88"/>
      <c r="EO49" s="88"/>
      <c r="EP49" s="88"/>
      <c r="EQ49" s="88"/>
      <c r="ER49" s="88"/>
      <c r="ES49" s="88"/>
      <c r="ET49" s="88"/>
      <c r="EU49" s="88"/>
      <c r="EV49" s="88"/>
      <c r="EW49" s="88"/>
      <c r="EX49" s="88"/>
      <c r="EY49" s="88"/>
      <c r="EZ49" s="88"/>
      <c r="FA49" s="88"/>
      <c r="FB49" s="88"/>
      <c r="FC49" s="88"/>
      <c r="FD49" s="88"/>
      <c r="FE49" s="88"/>
      <c r="FF49" s="88"/>
      <c r="FG49" s="88"/>
      <c r="FH49" s="88"/>
      <c r="FI49" s="89"/>
      <c r="FJ49" s="90"/>
      <c r="FK49" s="88"/>
      <c r="FL49" s="88"/>
      <c r="FM49" s="88"/>
      <c r="FN49" s="88"/>
      <c r="FO49" s="88"/>
      <c r="FP49" s="88"/>
      <c r="FQ49" s="88"/>
      <c r="FR49" s="88"/>
      <c r="FS49" s="88"/>
      <c r="FT49" s="88"/>
      <c r="FU49" s="88"/>
      <c r="FV49" s="88"/>
      <c r="FW49" s="88"/>
      <c r="FX49" s="88"/>
      <c r="FY49" s="88"/>
      <c r="FZ49" s="88"/>
      <c r="GA49" s="88"/>
      <c r="GB49" s="88"/>
      <c r="GC49" s="88"/>
      <c r="GD49" s="88"/>
      <c r="GE49" s="88"/>
      <c r="GF49" s="88"/>
      <c r="GG49" s="88"/>
      <c r="GH49" s="88"/>
      <c r="GI49" s="88"/>
      <c r="GJ49" s="88"/>
      <c r="GK49" s="88"/>
      <c r="GL49" s="88"/>
      <c r="GM49" s="88"/>
      <c r="GN49" s="89"/>
      <c r="GO49" s="90"/>
      <c r="GP49" s="88"/>
      <c r="GQ49" s="88"/>
      <c r="GR49" s="88"/>
      <c r="GS49" s="88"/>
      <c r="GT49" s="88"/>
      <c r="GU49" s="88"/>
      <c r="GV49" s="88"/>
      <c r="GW49" s="88"/>
      <c r="GX49" s="88"/>
      <c r="GY49" s="88"/>
      <c r="GZ49" s="88"/>
      <c r="HA49" s="88"/>
      <c r="HB49" s="88"/>
      <c r="HC49" s="88"/>
      <c r="HD49" s="88"/>
      <c r="HE49" s="88"/>
      <c r="HF49" s="88"/>
      <c r="HG49" s="88"/>
      <c r="HH49" s="88"/>
      <c r="HI49" s="88"/>
      <c r="HJ49" s="88"/>
      <c r="HK49" s="88"/>
      <c r="HL49" s="88"/>
      <c r="HM49" s="88"/>
      <c r="HN49" s="88"/>
      <c r="HO49" s="92"/>
      <c r="HP49" s="87"/>
      <c r="HQ49" s="88"/>
      <c r="HR49" s="89"/>
      <c r="HS49" s="90"/>
      <c r="HT49" s="88"/>
      <c r="HU49" s="88"/>
      <c r="HV49" s="88"/>
      <c r="HW49" s="88"/>
      <c r="HX49" s="88"/>
      <c r="HY49" s="88"/>
      <c r="HZ49" s="88"/>
      <c r="IA49" s="88"/>
      <c r="IB49" s="88"/>
      <c r="IC49" s="88"/>
      <c r="ID49" s="88"/>
      <c r="IE49" s="88"/>
      <c r="IF49" s="88"/>
      <c r="IG49" s="88"/>
      <c r="IH49" s="88"/>
      <c r="II49" s="88"/>
      <c r="IJ49" s="88"/>
      <c r="IK49" s="88"/>
      <c r="IL49" s="88"/>
      <c r="IM49" s="88"/>
      <c r="IN49" s="88"/>
      <c r="IO49" s="88"/>
      <c r="IP49" s="88"/>
      <c r="IQ49" s="88"/>
      <c r="IR49" s="88"/>
      <c r="IS49" s="88"/>
      <c r="IT49" s="88"/>
      <c r="IU49" s="88"/>
      <c r="IV49" s="88"/>
      <c r="IW49" s="89"/>
      <c r="IX49" s="92"/>
      <c r="IY49" s="87"/>
      <c r="IZ49" s="88"/>
      <c r="JA49" s="88"/>
      <c r="JB49" s="88"/>
      <c r="JC49" s="88"/>
      <c r="JD49" s="88"/>
      <c r="JE49" s="88"/>
      <c r="JF49" s="88"/>
      <c r="JG49" s="88"/>
      <c r="JH49" s="88"/>
      <c r="JI49" s="88"/>
      <c r="JJ49" s="88"/>
      <c r="JK49" s="88"/>
      <c r="JL49" s="88"/>
      <c r="JM49" s="88"/>
      <c r="JN49" s="88"/>
      <c r="JO49" s="88"/>
      <c r="JP49" s="88"/>
      <c r="JQ49" s="88"/>
      <c r="JR49" s="88"/>
      <c r="JS49" s="88"/>
      <c r="JT49" s="88"/>
      <c r="JU49" s="88"/>
      <c r="JV49" s="88"/>
      <c r="JW49" s="88"/>
      <c r="JX49" s="88"/>
      <c r="JY49" s="88"/>
      <c r="JZ49" s="88"/>
      <c r="KA49" s="89"/>
      <c r="KB49" s="90"/>
      <c r="KC49" s="88"/>
      <c r="KD49" s="88"/>
      <c r="KE49" s="88"/>
      <c r="KF49" s="88"/>
      <c r="KG49" s="88"/>
    </row>
    <row r="50" customFormat="false" ht="22.5" hidden="false" customHeight="true" outlineLevel="1" collapsed="false">
      <c r="B50" s="75" t="s">
        <v>159</v>
      </c>
      <c r="C50" s="138" t="s">
        <v>160</v>
      </c>
      <c r="D50" s="127" t="s">
        <v>161</v>
      </c>
      <c r="E50" s="139" t="n">
        <v>2</v>
      </c>
      <c r="F50" s="140" t="n">
        <v>2</v>
      </c>
      <c r="G50" s="141" t="n">
        <f aca="false">E50-F50</f>
        <v>0</v>
      </c>
      <c r="H50" s="142" t="n">
        <v>4</v>
      </c>
      <c r="I50" s="132"/>
      <c r="J50" s="133" t="n">
        <v>46189</v>
      </c>
      <c r="K50" s="133" t="n">
        <v>46189</v>
      </c>
      <c r="L50" s="143" t="n">
        <f aca="false">K50-J50</f>
        <v>0</v>
      </c>
      <c r="M50" s="136" t="n">
        <f aca="false">IFERROR(F50/E50,"")</f>
        <v>1</v>
      </c>
      <c r="N50" s="87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9"/>
      <c r="AK50" s="90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9"/>
      <c r="BO50" s="90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91"/>
      <c r="CT50" s="90"/>
      <c r="CU50" s="88"/>
      <c r="CV50" s="88"/>
      <c r="CW50" s="88"/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  <c r="DL50" s="88"/>
      <c r="DM50" s="88"/>
      <c r="DN50" s="88"/>
      <c r="DO50" s="88"/>
      <c r="DP50" s="88"/>
      <c r="DQ50" s="88"/>
      <c r="DR50" s="88"/>
      <c r="DS50" s="88"/>
      <c r="DT50" s="88"/>
      <c r="DU50" s="92"/>
      <c r="DV50" s="87"/>
      <c r="DW50" s="88"/>
      <c r="DX50" s="88"/>
      <c r="DY50" s="88"/>
      <c r="DZ50" s="88"/>
      <c r="EA50" s="88"/>
      <c r="EB50" s="88"/>
      <c r="EC50" s="88"/>
      <c r="ED50" s="89"/>
      <c r="EE50" s="90"/>
      <c r="EF50" s="88"/>
      <c r="EG50" s="88"/>
      <c r="EH50" s="88"/>
      <c r="EI50" s="88"/>
      <c r="EJ50" s="88"/>
      <c r="EK50" s="88"/>
      <c r="EL50" s="88"/>
      <c r="EM50" s="88"/>
      <c r="EN50" s="88"/>
      <c r="EO50" s="88"/>
      <c r="EP50" s="88"/>
      <c r="EQ50" s="88"/>
      <c r="ER50" s="88"/>
      <c r="ES50" s="88"/>
      <c r="ET50" s="88"/>
      <c r="EU50" s="88"/>
      <c r="EV50" s="88"/>
      <c r="EW50" s="88"/>
      <c r="EX50" s="88"/>
      <c r="EY50" s="88"/>
      <c r="EZ50" s="88"/>
      <c r="FA50" s="88"/>
      <c r="FB50" s="88"/>
      <c r="FC50" s="88"/>
      <c r="FD50" s="88"/>
      <c r="FE50" s="88"/>
      <c r="FF50" s="88"/>
      <c r="FG50" s="88"/>
      <c r="FH50" s="88"/>
      <c r="FI50" s="89"/>
      <c r="FJ50" s="90"/>
      <c r="FK50" s="88"/>
      <c r="FL50" s="88"/>
      <c r="FM50" s="88"/>
      <c r="FN50" s="88"/>
      <c r="FO50" s="88"/>
      <c r="FP50" s="88"/>
      <c r="FQ50" s="88"/>
      <c r="FR50" s="88"/>
      <c r="FS50" s="88"/>
      <c r="FT50" s="88"/>
      <c r="FU50" s="88"/>
      <c r="FV50" s="88"/>
      <c r="FW50" s="88"/>
      <c r="FX50" s="88"/>
      <c r="FY50" s="88"/>
      <c r="FZ50" s="88"/>
      <c r="GA50" s="88"/>
      <c r="GB50" s="88"/>
      <c r="GC50" s="88"/>
      <c r="GD50" s="88"/>
      <c r="GE50" s="88"/>
      <c r="GF50" s="88"/>
      <c r="GG50" s="88"/>
      <c r="GH50" s="88"/>
      <c r="GI50" s="88"/>
      <c r="GJ50" s="88"/>
      <c r="GK50" s="88"/>
      <c r="GL50" s="88"/>
      <c r="GM50" s="88"/>
      <c r="GN50" s="89"/>
      <c r="GO50" s="90"/>
      <c r="GP50" s="88"/>
      <c r="GQ50" s="88"/>
      <c r="GR50" s="88"/>
      <c r="GS50" s="88"/>
      <c r="GT50" s="88"/>
      <c r="GU50" s="88"/>
      <c r="GV50" s="88"/>
      <c r="GW50" s="88"/>
      <c r="GX50" s="88"/>
      <c r="GY50" s="88"/>
      <c r="GZ50" s="88"/>
      <c r="HA50" s="88"/>
      <c r="HB50" s="88"/>
      <c r="HC50" s="88"/>
      <c r="HD50" s="88"/>
      <c r="HE50" s="88"/>
      <c r="HF50" s="88"/>
      <c r="HG50" s="88"/>
      <c r="HH50" s="88"/>
      <c r="HI50" s="88"/>
      <c r="HJ50" s="88"/>
      <c r="HK50" s="88"/>
      <c r="HL50" s="88"/>
      <c r="HM50" s="88"/>
      <c r="HN50" s="88"/>
      <c r="HO50" s="92"/>
      <c r="HP50" s="87"/>
      <c r="HQ50" s="88"/>
      <c r="HR50" s="89"/>
      <c r="HS50" s="90"/>
      <c r="HT50" s="88"/>
      <c r="HU50" s="88"/>
      <c r="HV50" s="88"/>
      <c r="HW50" s="88"/>
      <c r="HX50" s="88"/>
      <c r="HY50" s="88"/>
      <c r="HZ50" s="88"/>
      <c r="IA50" s="88"/>
      <c r="IB50" s="88"/>
      <c r="IC50" s="88"/>
      <c r="ID50" s="88"/>
      <c r="IE50" s="88"/>
      <c r="IF50" s="88"/>
      <c r="IG50" s="88"/>
      <c r="IH50" s="88"/>
      <c r="II50" s="88"/>
      <c r="IJ50" s="88"/>
      <c r="IK50" s="88"/>
      <c r="IL50" s="88"/>
      <c r="IM50" s="88"/>
      <c r="IN50" s="88"/>
      <c r="IO50" s="88"/>
      <c r="IP50" s="88"/>
      <c r="IQ50" s="88"/>
      <c r="IR50" s="88"/>
      <c r="IS50" s="88"/>
      <c r="IT50" s="88"/>
      <c r="IU50" s="88"/>
      <c r="IV50" s="88"/>
      <c r="IW50" s="89"/>
      <c r="IX50" s="92"/>
      <c r="IY50" s="87"/>
      <c r="IZ50" s="88"/>
      <c r="JA50" s="88"/>
      <c r="JB50" s="88"/>
      <c r="JC50" s="88"/>
      <c r="JD50" s="88"/>
      <c r="JE50" s="88"/>
      <c r="JF50" s="88"/>
      <c r="JG50" s="88"/>
      <c r="JH50" s="88"/>
      <c r="JI50" s="88"/>
      <c r="JJ50" s="88"/>
      <c r="JK50" s="88"/>
      <c r="JL50" s="88"/>
      <c r="JM50" s="88"/>
      <c r="JN50" s="88"/>
      <c r="JO50" s="88"/>
      <c r="JP50" s="88"/>
      <c r="JQ50" s="88"/>
      <c r="JR50" s="88"/>
      <c r="JS50" s="88"/>
      <c r="JT50" s="88"/>
      <c r="JU50" s="88"/>
      <c r="JV50" s="88"/>
      <c r="JW50" s="88"/>
      <c r="JX50" s="88"/>
      <c r="JY50" s="88"/>
      <c r="JZ50" s="88"/>
      <c r="KA50" s="89"/>
      <c r="KB50" s="90"/>
      <c r="KC50" s="88"/>
      <c r="KD50" s="88"/>
      <c r="KE50" s="88"/>
      <c r="KF50" s="88"/>
      <c r="KG50" s="88"/>
    </row>
    <row r="51" customFormat="false" ht="22.5" hidden="false" customHeight="true" outlineLevel="1" collapsed="false">
      <c r="B51" s="75" t="s">
        <v>162</v>
      </c>
      <c r="C51" s="138" t="s">
        <v>163</v>
      </c>
      <c r="D51" s="127" t="s">
        <v>73</v>
      </c>
      <c r="E51" s="139" t="n">
        <v>1</v>
      </c>
      <c r="F51" s="140" t="n">
        <v>1</v>
      </c>
      <c r="G51" s="141" t="n">
        <f aca="false">E51-F51</f>
        <v>0</v>
      </c>
      <c r="H51" s="142" t="n">
        <v>5</v>
      </c>
      <c r="I51" s="132" t="s">
        <v>159</v>
      </c>
      <c r="J51" s="133" t="n">
        <v>46189</v>
      </c>
      <c r="K51" s="133" t="n">
        <v>46190</v>
      </c>
      <c r="L51" s="143" t="n">
        <f aca="false">K51-J51</f>
        <v>1</v>
      </c>
      <c r="M51" s="136" t="n">
        <f aca="false">IFERROR(F51/E51,"")</f>
        <v>1</v>
      </c>
      <c r="N51" s="87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9"/>
      <c r="AK51" s="90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9"/>
      <c r="BO51" s="90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91"/>
      <c r="CT51" s="90"/>
      <c r="CU51" s="88"/>
      <c r="CV51" s="88"/>
      <c r="CW51" s="88"/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  <c r="DL51" s="88"/>
      <c r="DM51" s="88"/>
      <c r="DN51" s="88"/>
      <c r="DO51" s="88"/>
      <c r="DP51" s="88"/>
      <c r="DQ51" s="88"/>
      <c r="DR51" s="88"/>
      <c r="DS51" s="88"/>
      <c r="DT51" s="88"/>
      <c r="DU51" s="92"/>
      <c r="DV51" s="87"/>
      <c r="DW51" s="88"/>
      <c r="DX51" s="88"/>
      <c r="DY51" s="88"/>
      <c r="DZ51" s="88"/>
      <c r="EA51" s="88"/>
      <c r="EB51" s="88"/>
      <c r="EC51" s="88"/>
      <c r="ED51" s="89"/>
      <c r="EE51" s="90"/>
      <c r="EF51" s="88"/>
      <c r="EG51" s="88"/>
      <c r="EH51" s="88"/>
      <c r="EI51" s="88"/>
      <c r="EJ51" s="88"/>
      <c r="EK51" s="88"/>
      <c r="EL51" s="88"/>
      <c r="EM51" s="88"/>
      <c r="EN51" s="88"/>
      <c r="EO51" s="88"/>
      <c r="EP51" s="88"/>
      <c r="EQ51" s="88"/>
      <c r="ER51" s="88"/>
      <c r="ES51" s="88"/>
      <c r="ET51" s="88"/>
      <c r="EU51" s="88"/>
      <c r="EV51" s="88"/>
      <c r="EW51" s="88"/>
      <c r="EX51" s="88"/>
      <c r="EY51" s="88"/>
      <c r="EZ51" s="88"/>
      <c r="FA51" s="88"/>
      <c r="FB51" s="88"/>
      <c r="FC51" s="88"/>
      <c r="FD51" s="88"/>
      <c r="FE51" s="88"/>
      <c r="FF51" s="88"/>
      <c r="FG51" s="88"/>
      <c r="FH51" s="88"/>
      <c r="FI51" s="89"/>
      <c r="FJ51" s="90"/>
      <c r="FK51" s="88"/>
      <c r="FL51" s="88"/>
      <c r="FM51" s="88"/>
      <c r="FN51" s="88"/>
      <c r="FO51" s="88"/>
      <c r="FP51" s="88"/>
      <c r="FQ51" s="88"/>
      <c r="FR51" s="88"/>
      <c r="FS51" s="88"/>
      <c r="FT51" s="88"/>
      <c r="FU51" s="88"/>
      <c r="FV51" s="88"/>
      <c r="FW51" s="88"/>
      <c r="FX51" s="88"/>
      <c r="FY51" s="88"/>
      <c r="FZ51" s="88"/>
      <c r="GA51" s="88"/>
      <c r="GB51" s="88"/>
      <c r="GC51" s="88"/>
      <c r="GD51" s="88"/>
      <c r="GE51" s="88"/>
      <c r="GF51" s="88"/>
      <c r="GG51" s="88"/>
      <c r="GH51" s="88"/>
      <c r="GI51" s="88"/>
      <c r="GJ51" s="88"/>
      <c r="GK51" s="88"/>
      <c r="GL51" s="88"/>
      <c r="GM51" s="88"/>
      <c r="GN51" s="89"/>
      <c r="GO51" s="90"/>
      <c r="GP51" s="88"/>
      <c r="GQ51" s="88"/>
      <c r="GR51" s="88"/>
      <c r="GS51" s="88"/>
      <c r="GT51" s="88"/>
      <c r="GU51" s="88"/>
      <c r="GV51" s="88"/>
      <c r="GW51" s="88"/>
      <c r="GX51" s="88"/>
      <c r="GY51" s="88"/>
      <c r="GZ51" s="88"/>
      <c r="HA51" s="88"/>
      <c r="HB51" s="88"/>
      <c r="HC51" s="88"/>
      <c r="HD51" s="88"/>
      <c r="HE51" s="88"/>
      <c r="HF51" s="88"/>
      <c r="HG51" s="88"/>
      <c r="HH51" s="88"/>
      <c r="HI51" s="88"/>
      <c r="HJ51" s="88"/>
      <c r="HK51" s="88"/>
      <c r="HL51" s="88"/>
      <c r="HM51" s="88"/>
      <c r="HN51" s="88"/>
      <c r="HO51" s="92"/>
      <c r="HP51" s="87"/>
      <c r="HQ51" s="88"/>
      <c r="HR51" s="89"/>
      <c r="HS51" s="90"/>
      <c r="HT51" s="88"/>
      <c r="HU51" s="88"/>
      <c r="HV51" s="88"/>
      <c r="HW51" s="88"/>
      <c r="HX51" s="88"/>
      <c r="HY51" s="88"/>
      <c r="HZ51" s="88"/>
      <c r="IA51" s="88"/>
      <c r="IB51" s="88"/>
      <c r="IC51" s="88"/>
      <c r="ID51" s="88"/>
      <c r="IE51" s="88"/>
      <c r="IF51" s="88"/>
      <c r="IG51" s="88"/>
      <c r="IH51" s="88"/>
      <c r="II51" s="88"/>
      <c r="IJ51" s="88"/>
      <c r="IK51" s="88"/>
      <c r="IL51" s="88"/>
      <c r="IM51" s="88"/>
      <c r="IN51" s="88"/>
      <c r="IO51" s="88"/>
      <c r="IP51" s="88"/>
      <c r="IQ51" s="88"/>
      <c r="IR51" s="88"/>
      <c r="IS51" s="88"/>
      <c r="IT51" s="88"/>
      <c r="IU51" s="88"/>
      <c r="IV51" s="88"/>
      <c r="IW51" s="89"/>
      <c r="IX51" s="92"/>
      <c r="IY51" s="87"/>
      <c r="IZ51" s="88"/>
      <c r="JA51" s="88"/>
      <c r="JB51" s="88"/>
      <c r="JC51" s="88"/>
      <c r="JD51" s="88"/>
      <c r="JE51" s="88"/>
      <c r="JF51" s="88"/>
      <c r="JG51" s="88"/>
      <c r="JH51" s="88"/>
      <c r="JI51" s="88"/>
      <c r="JJ51" s="88"/>
      <c r="JK51" s="88"/>
      <c r="JL51" s="88"/>
      <c r="JM51" s="88"/>
      <c r="JN51" s="88"/>
      <c r="JO51" s="88"/>
      <c r="JP51" s="88"/>
      <c r="JQ51" s="88"/>
      <c r="JR51" s="88"/>
      <c r="JS51" s="88"/>
      <c r="JT51" s="88"/>
      <c r="JU51" s="88"/>
      <c r="JV51" s="88"/>
      <c r="JW51" s="88"/>
      <c r="JX51" s="88"/>
      <c r="JY51" s="88"/>
      <c r="JZ51" s="88"/>
      <c r="KA51" s="89"/>
      <c r="KB51" s="90"/>
      <c r="KC51" s="88"/>
      <c r="KD51" s="88"/>
      <c r="KE51" s="88"/>
      <c r="KF51" s="88"/>
      <c r="KG51" s="88"/>
    </row>
    <row r="52" customFormat="false" ht="22.5" hidden="false" customHeight="true" outlineLevel="1" collapsed="false">
      <c r="B52" s="75" t="s">
        <v>164</v>
      </c>
      <c r="C52" s="138" t="s">
        <v>165</v>
      </c>
      <c r="D52" s="127" t="s">
        <v>166</v>
      </c>
      <c r="E52" s="139" t="n">
        <v>2</v>
      </c>
      <c r="F52" s="140" t="n">
        <v>2</v>
      </c>
      <c r="G52" s="141" t="n">
        <f aca="false">E52-F52</f>
        <v>0</v>
      </c>
      <c r="H52" s="142" t="n">
        <v>5</v>
      </c>
      <c r="I52" s="132" t="s">
        <v>162</v>
      </c>
      <c r="J52" s="133" t="n">
        <v>46190</v>
      </c>
      <c r="K52" s="133" t="n">
        <v>46191</v>
      </c>
      <c r="L52" s="143" t="n">
        <f aca="false">K52-J52</f>
        <v>1</v>
      </c>
      <c r="M52" s="136" t="n">
        <f aca="false">IFERROR(F52/E52,"")</f>
        <v>1</v>
      </c>
      <c r="N52" s="87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9"/>
      <c r="AK52" s="90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9"/>
      <c r="BO52" s="90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91"/>
      <c r="CT52" s="90"/>
      <c r="CU52" s="88"/>
      <c r="CV52" s="88"/>
      <c r="CW52" s="88"/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  <c r="DL52" s="88"/>
      <c r="DM52" s="88"/>
      <c r="DN52" s="88"/>
      <c r="DO52" s="88"/>
      <c r="DP52" s="88"/>
      <c r="DQ52" s="88"/>
      <c r="DR52" s="88"/>
      <c r="DS52" s="88"/>
      <c r="DT52" s="88"/>
      <c r="DU52" s="92"/>
      <c r="DV52" s="87"/>
      <c r="DW52" s="88"/>
      <c r="DX52" s="88"/>
      <c r="DY52" s="88"/>
      <c r="DZ52" s="88"/>
      <c r="EA52" s="88"/>
      <c r="EB52" s="88"/>
      <c r="EC52" s="88"/>
      <c r="ED52" s="89"/>
      <c r="EE52" s="90"/>
      <c r="EF52" s="88"/>
      <c r="EG52" s="88"/>
      <c r="EH52" s="88"/>
      <c r="EI52" s="88"/>
      <c r="EJ52" s="88"/>
      <c r="EK52" s="88"/>
      <c r="EL52" s="88"/>
      <c r="EM52" s="88"/>
      <c r="EN52" s="88"/>
      <c r="EO52" s="88"/>
      <c r="EP52" s="88"/>
      <c r="EQ52" s="88"/>
      <c r="ER52" s="88"/>
      <c r="ES52" s="88"/>
      <c r="ET52" s="88"/>
      <c r="EU52" s="88"/>
      <c r="EV52" s="88"/>
      <c r="EW52" s="88"/>
      <c r="EX52" s="88"/>
      <c r="EY52" s="88"/>
      <c r="EZ52" s="88"/>
      <c r="FA52" s="88"/>
      <c r="FB52" s="88"/>
      <c r="FC52" s="88"/>
      <c r="FD52" s="88"/>
      <c r="FE52" s="88"/>
      <c r="FF52" s="88"/>
      <c r="FG52" s="88"/>
      <c r="FH52" s="88"/>
      <c r="FI52" s="89"/>
      <c r="FJ52" s="90"/>
      <c r="FK52" s="88"/>
      <c r="FL52" s="88"/>
      <c r="FM52" s="88"/>
      <c r="FN52" s="88"/>
      <c r="FO52" s="88"/>
      <c r="FP52" s="88"/>
      <c r="FQ52" s="88"/>
      <c r="FR52" s="88"/>
      <c r="FS52" s="88"/>
      <c r="FT52" s="88"/>
      <c r="FU52" s="88"/>
      <c r="FV52" s="88"/>
      <c r="FW52" s="88"/>
      <c r="FX52" s="88"/>
      <c r="FY52" s="88"/>
      <c r="FZ52" s="88"/>
      <c r="GA52" s="88"/>
      <c r="GB52" s="88"/>
      <c r="GC52" s="88"/>
      <c r="GD52" s="88"/>
      <c r="GE52" s="88"/>
      <c r="GF52" s="88"/>
      <c r="GG52" s="88"/>
      <c r="GH52" s="88"/>
      <c r="GI52" s="88"/>
      <c r="GJ52" s="88"/>
      <c r="GK52" s="88"/>
      <c r="GL52" s="88"/>
      <c r="GM52" s="88"/>
      <c r="GN52" s="89"/>
      <c r="GO52" s="90"/>
      <c r="GP52" s="88"/>
      <c r="GQ52" s="88"/>
      <c r="GR52" s="88"/>
      <c r="GS52" s="88"/>
      <c r="GT52" s="88"/>
      <c r="GU52" s="88"/>
      <c r="GV52" s="88"/>
      <c r="GW52" s="88"/>
      <c r="GX52" s="88"/>
      <c r="GY52" s="88"/>
      <c r="GZ52" s="88"/>
      <c r="HA52" s="88"/>
      <c r="HB52" s="88"/>
      <c r="HC52" s="88"/>
      <c r="HD52" s="88"/>
      <c r="HE52" s="88"/>
      <c r="HF52" s="88"/>
      <c r="HG52" s="88"/>
      <c r="HH52" s="88"/>
      <c r="HI52" s="88"/>
      <c r="HJ52" s="88"/>
      <c r="HK52" s="88"/>
      <c r="HL52" s="88"/>
      <c r="HM52" s="88"/>
      <c r="HN52" s="88"/>
      <c r="HO52" s="92"/>
      <c r="HP52" s="87"/>
      <c r="HQ52" s="88"/>
      <c r="HR52" s="89"/>
      <c r="HS52" s="90"/>
      <c r="HT52" s="88"/>
      <c r="HU52" s="88"/>
      <c r="HV52" s="88"/>
      <c r="HW52" s="88"/>
      <c r="HX52" s="88"/>
      <c r="HY52" s="88"/>
      <c r="HZ52" s="88"/>
      <c r="IA52" s="88"/>
      <c r="IB52" s="88"/>
      <c r="IC52" s="88"/>
      <c r="ID52" s="88"/>
      <c r="IE52" s="88"/>
      <c r="IF52" s="88"/>
      <c r="IG52" s="88"/>
      <c r="IH52" s="88"/>
      <c r="II52" s="88"/>
      <c r="IJ52" s="88"/>
      <c r="IK52" s="88"/>
      <c r="IL52" s="88"/>
      <c r="IM52" s="88"/>
      <c r="IN52" s="88"/>
      <c r="IO52" s="88"/>
      <c r="IP52" s="88"/>
      <c r="IQ52" s="88"/>
      <c r="IR52" s="88"/>
      <c r="IS52" s="88"/>
      <c r="IT52" s="88"/>
      <c r="IU52" s="88"/>
      <c r="IV52" s="88"/>
      <c r="IW52" s="89"/>
      <c r="IX52" s="92"/>
      <c r="IY52" s="87"/>
      <c r="IZ52" s="88"/>
      <c r="JA52" s="88"/>
      <c r="JB52" s="88"/>
      <c r="JC52" s="88"/>
      <c r="JD52" s="88"/>
      <c r="JE52" s="88"/>
      <c r="JF52" s="88"/>
      <c r="JG52" s="88"/>
      <c r="JH52" s="88"/>
      <c r="JI52" s="88"/>
      <c r="JJ52" s="88"/>
      <c r="JK52" s="88"/>
      <c r="JL52" s="88"/>
      <c r="JM52" s="88"/>
      <c r="JN52" s="88"/>
      <c r="JO52" s="88"/>
      <c r="JP52" s="88"/>
      <c r="JQ52" s="88"/>
      <c r="JR52" s="88"/>
      <c r="JS52" s="88"/>
      <c r="JT52" s="88"/>
      <c r="JU52" s="88"/>
      <c r="JV52" s="88"/>
      <c r="JW52" s="88"/>
      <c r="JX52" s="88"/>
      <c r="JY52" s="88"/>
      <c r="JZ52" s="88"/>
      <c r="KA52" s="89"/>
      <c r="KB52" s="90"/>
      <c r="KC52" s="88"/>
      <c r="KD52" s="88"/>
      <c r="KE52" s="88"/>
      <c r="KF52" s="88"/>
      <c r="KG52" s="88"/>
    </row>
    <row r="53" customFormat="false" ht="22.5" hidden="false" customHeight="true" outlineLevel="1" collapsed="false">
      <c r="B53" s="75" t="s">
        <v>167</v>
      </c>
      <c r="C53" s="138" t="s">
        <v>168</v>
      </c>
      <c r="D53" s="127" t="s">
        <v>169</v>
      </c>
      <c r="E53" s="139" t="n">
        <v>5</v>
      </c>
      <c r="F53" s="140" t="n">
        <v>5</v>
      </c>
      <c r="G53" s="141" t="n">
        <f aca="false">E53-F53</f>
        <v>0</v>
      </c>
      <c r="H53" s="142" t="n">
        <v>5</v>
      </c>
      <c r="I53" s="132" t="s">
        <v>133</v>
      </c>
      <c r="J53" s="133" t="n">
        <v>46189</v>
      </c>
      <c r="K53" s="133" t="n">
        <v>46191</v>
      </c>
      <c r="L53" s="143" t="n">
        <f aca="false">K53-J53</f>
        <v>2</v>
      </c>
      <c r="M53" s="136" t="n">
        <f aca="false">IFERROR(F53/E53,"")</f>
        <v>1</v>
      </c>
      <c r="N53" s="87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9"/>
      <c r="AK53" s="90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9"/>
      <c r="BO53" s="90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91"/>
      <c r="CT53" s="90"/>
      <c r="CU53" s="88"/>
      <c r="CV53" s="88"/>
      <c r="CW53" s="88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92"/>
      <c r="DV53" s="87"/>
      <c r="DW53" s="88"/>
      <c r="DX53" s="88"/>
      <c r="DY53" s="88"/>
      <c r="DZ53" s="88"/>
      <c r="EA53" s="88"/>
      <c r="EB53" s="88"/>
      <c r="EC53" s="88"/>
      <c r="ED53" s="89"/>
      <c r="EE53" s="90"/>
      <c r="EF53" s="88"/>
      <c r="EG53" s="88"/>
      <c r="EH53" s="88"/>
      <c r="EI53" s="88"/>
      <c r="EJ53" s="88"/>
      <c r="EK53" s="88"/>
      <c r="EL53" s="88"/>
      <c r="EM53" s="88"/>
      <c r="EN53" s="88"/>
      <c r="EO53" s="88"/>
      <c r="EP53" s="88"/>
      <c r="EQ53" s="88"/>
      <c r="ER53" s="88"/>
      <c r="ES53" s="88"/>
      <c r="ET53" s="88"/>
      <c r="EU53" s="88"/>
      <c r="EV53" s="88"/>
      <c r="EW53" s="88"/>
      <c r="EX53" s="88"/>
      <c r="EY53" s="88"/>
      <c r="EZ53" s="88"/>
      <c r="FA53" s="88"/>
      <c r="FB53" s="88"/>
      <c r="FC53" s="88"/>
      <c r="FD53" s="88"/>
      <c r="FE53" s="88"/>
      <c r="FF53" s="88"/>
      <c r="FG53" s="88"/>
      <c r="FH53" s="88"/>
      <c r="FI53" s="89"/>
      <c r="FJ53" s="90"/>
      <c r="FK53" s="88"/>
      <c r="FL53" s="88"/>
      <c r="FM53" s="88"/>
      <c r="FN53" s="88"/>
      <c r="FO53" s="88"/>
      <c r="FP53" s="88"/>
      <c r="FQ53" s="88"/>
      <c r="FR53" s="88"/>
      <c r="FS53" s="88"/>
      <c r="FT53" s="88"/>
      <c r="FU53" s="88"/>
      <c r="FV53" s="88"/>
      <c r="FW53" s="88"/>
      <c r="FX53" s="88"/>
      <c r="FY53" s="88"/>
      <c r="FZ53" s="88"/>
      <c r="GA53" s="88"/>
      <c r="GB53" s="88"/>
      <c r="GC53" s="88"/>
      <c r="GD53" s="88"/>
      <c r="GE53" s="88"/>
      <c r="GF53" s="88"/>
      <c r="GG53" s="88"/>
      <c r="GH53" s="88"/>
      <c r="GI53" s="88"/>
      <c r="GJ53" s="88"/>
      <c r="GK53" s="88"/>
      <c r="GL53" s="88"/>
      <c r="GM53" s="88"/>
      <c r="GN53" s="89"/>
      <c r="GO53" s="90"/>
      <c r="GP53" s="88"/>
      <c r="GQ53" s="88"/>
      <c r="GR53" s="88"/>
      <c r="GS53" s="88"/>
      <c r="GT53" s="88"/>
      <c r="GU53" s="88"/>
      <c r="GV53" s="88"/>
      <c r="GW53" s="88"/>
      <c r="GX53" s="88"/>
      <c r="GY53" s="88"/>
      <c r="GZ53" s="88"/>
      <c r="HA53" s="88"/>
      <c r="HB53" s="88"/>
      <c r="HC53" s="88"/>
      <c r="HD53" s="88"/>
      <c r="HE53" s="88"/>
      <c r="HF53" s="88"/>
      <c r="HG53" s="88"/>
      <c r="HH53" s="88"/>
      <c r="HI53" s="88"/>
      <c r="HJ53" s="88"/>
      <c r="HK53" s="88"/>
      <c r="HL53" s="88"/>
      <c r="HM53" s="88"/>
      <c r="HN53" s="88"/>
      <c r="HO53" s="92"/>
      <c r="HP53" s="87"/>
      <c r="HQ53" s="88"/>
      <c r="HR53" s="89"/>
      <c r="HS53" s="90"/>
      <c r="HT53" s="88"/>
      <c r="HU53" s="88"/>
      <c r="HV53" s="88"/>
      <c r="HW53" s="88"/>
      <c r="HX53" s="88"/>
      <c r="HY53" s="88"/>
      <c r="HZ53" s="88"/>
      <c r="IA53" s="88"/>
      <c r="IB53" s="88"/>
      <c r="IC53" s="88"/>
      <c r="ID53" s="88"/>
      <c r="IE53" s="88"/>
      <c r="IF53" s="88"/>
      <c r="IG53" s="88"/>
      <c r="IH53" s="88"/>
      <c r="II53" s="88"/>
      <c r="IJ53" s="88"/>
      <c r="IK53" s="88"/>
      <c r="IL53" s="88"/>
      <c r="IM53" s="88"/>
      <c r="IN53" s="88"/>
      <c r="IO53" s="88"/>
      <c r="IP53" s="88"/>
      <c r="IQ53" s="88"/>
      <c r="IR53" s="88"/>
      <c r="IS53" s="88"/>
      <c r="IT53" s="88"/>
      <c r="IU53" s="88"/>
      <c r="IV53" s="88"/>
      <c r="IW53" s="89"/>
      <c r="IX53" s="92"/>
      <c r="IY53" s="87"/>
      <c r="IZ53" s="88"/>
      <c r="JA53" s="88"/>
      <c r="JB53" s="88"/>
      <c r="JC53" s="88"/>
      <c r="JD53" s="88"/>
      <c r="JE53" s="88"/>
      <c r="JF53" s="88"/>
      <c r="JG53" s="88"/>
      <c r="JH53" s="88"/>
      <c r="JI53" s="88"/>
      <c r="JJ53" s="88"/>
      <c r="JK53" s="88"/>
      <c r="JL53" s="88"/>
      <c r="JM53" s="88"/>
      <c r="JN53" s="88"/>
      <c r="JO53" s="88"/>
      <c r="JP53" s="88"/>
      <c r="JQ53" s="88"/>
      <c r="JR53" s="88"/>
      <c r="JS53" s="88"/>
      <c r="JT53" s="88"/>
      <c r="JU53" s="88"/>
      <c r="JV53" s="88"/>
      <c r="JW53" s="88"/>
      <c r="JX53" s="88"/>
      <c r="JY53" s="88"/>
      <c r="JZ53" s="88"/>
      <c r="KA53" s="89"/>
      <c r="KB53" s="90"/>
      <c r="KC53" s="88"/>
      <c r="KD53" s="88"/>
      <c r="KE53" s="88"/>
      <c r="KF53" s="88"/>
      <c r="KG53" s="88"/>
    </row>
    <row r="54" customFormat="false" ht="22.5" hidden="false" customHeight="true" outlineLevel="1" collapsed="false">
      <c r="B54" s="75" t="s">
        <v>170</v>
      </c>
      <c r="C54" s="138" t="s">
        <v>171</v>
      </c>
      <c r="D54" s="127" t="s">
        <v>138</v>
      </c>
      <c r="E54" s="139" t="n">
        <v>3</v>
      </c>
      <c r="F54" s="140" t="n">
        <v>3</v>
      </c>
      <c r="G54" s="141" t="n">
        <f aca="false">E54-F54</f>
        <v>0</v>
      </c>
      <c r="H54" s="142" t="n">
        <v>5</v>
      </c>
      <c r="I54" s="132" t="s">
        <v>136</v>
      </c>
      <c r="J54" s="133" t="n">
        <v>46191</v>
      </c>
      <c r="K54" s="133" t="n">
        <v>46191</v>
      </c>
      <c r="L54" s="143" t="n">
        <f aca="false">K54-J54</f>
        <v>0</v>
      </c>
      <c r="M54" s="136" t="n">
        <f aca="false">IFERROR(F54/E54,"")</f>
        <v>1</v>
      </c>
      <c r="N54" s="87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9"/>
      <c r="AK54" s="90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9"/>
      <c r="BO54" s="90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91"/>
      <c r="CT54" s="90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92"/>
      <c r="DV54" s="87"/>
      <c r="DW54" s="88"/>
      <c r="DX54" s="88"/>
      <c r="DY54" s="88"/>
      <c r="DZ54" s="88"/>
      <c r="EA54" s="88"/>
      <c r="EB54" s="88"/>
      <c r="EC54" s="88"/>
      <c r="ED54" s="89"/>
      <c r="EE54" s="90"/>
      <c r="EF54" s="88"/>
      <c r="EG54" s="88"/>
      <c r="EH54" s="88"/>
      <c r="EI54" s="88"/>
      <c r="EJ54" s="88"/>
      <c r="EK54" s="88"/>
      <c r="EL54" s="88"/>
      <c r="EM54" s="88"/>
      <c r="EN54" s="88"/>
      <c r="EO54" s="88"/>
      <c r="EP54" s="88"/>
      <c r="EQ54" s="88"/>
      <c r="ER54" s="88"/>
      <c r="ES54" s="88"/>
      <c r="ET54" s="88"/>
      <c r="EU54" s="88"/>
      <c r="EV54" s="88"/>
      <c r="EW54" s="88"/>
      <c r="EX54" s="88"/>
      <c r="EY54" s="88"/>
      <c r="EZ54" s="88"/>
      <c r="FA54" s="88"/>
      <c r="FB54" s="88"/>
      <c r="FC54" s="88"/>
      <c r="FD54" s="88"/>
      <c r="FE54" s="88"/>
      <c r="FF54" s="88"/>
      <c r="FG54" s="88"/>
      <c r="FH54" s="88"/>
      <c r="FI54" s="89"/>
      <c r="FJ54" s="90"/>
      <c r="FK54" s="88"/>
      <c r="FL54" s="88"/>
      <c r="FM54" s="88"/>
      <c r="FN54" s="88"/>
      <c r="FO54" s="88"/>
      <c r="FP54" s="88"/>
      <c r="FQ54" s="88"/>
      <c r="FR54" s="88"/>
      <c r="FS54" s="88"/>
      <c r="FT54" s="88"/>
      <c r="FU54" s="88"/>
      <c r="FV54" s="88"/>
      <c r="FW54" s="88"/>
      <c r="FX54" s="88"/>
      <c r="FY54" s="88"/>
      <c r="FZ54" s="88"/>
      <c r="GA54" s="88"/>
      <c r="GB54" s="88"/>
      <c r="GC54" s="88"/>
      <c r="GD54" s="88"/>
      <c r="GE54" s="88"/>
      <c r="GF54" s="88"/>
      <c r="GG54" s="88"/>
      <c r="GH54" s="88"/>
      <c r="GI54" s="88"/>
      <c r="GJ54" s="88"/>
      <c r="GK54" s="88"/>
      <c r="GL54" s="88"/>
      <c r="GM54" s="88"/>
      <c r="GN54" s="89"/>
      <c r="GO54" s="90"/>
      <c r="GP54" s="88"/>
      <c r="GQ54" s="88"/>
      <c r="GR54" s="88"/>
      <c r="GS54" s="88"/>
      <c r="GT54" s="88"/>
      <c r="GU54" s="88"/>
      <c r="GV54" s="88"/>
      <c r="GW54" s="88"/>
      <c r="GX54" s="88"/>
      <c r="GY54" s="88"/>
      <c r="GZ54" s="88"/>
      <c r="HA54" s="88"/>
      <c r="HB54" s="88"/>
      <c r="HC54" s="88"/>
      <c r="HD54" s="88"/>
      <c r="HE54" s="88"/>
      <c r="HF54" s="88"/>
      <c r="HG54" s="88"/>
      <c r="HH54" s="88"/>
      <c r="HI54" s="88"/>
      <c r="HJ54" s="88"/>
      <c r="HK54" s="88"/>
      <c r="HL54" s="88"/>
      <c r="HM54" s="88"/>
      <c r="HN54" s="88"/>
      <c r="HO54" s="92"/>
      <c r="HP54" s="87"/>
      <c r="HQ54" s="88"/>
      <c r="HR54" s="89"/>
      <c r="HS54" s="90"/>
      <c r="HT54" s="88"/>
      <c r="HU54" s="88"/>
      <c r="HV54" s="88"/>
      <c r="HW54" s="88"/>
      <c r="HX54" s="88"/>
      <c r="HY54" s="88"/>
      <c r="HZ54" s="88"/>
      <c r="IA54" s="88"/>
      <c r="IB54" s="88"/>
      <c r="IC54" s="88"/>
      <c r="ID54" s="88"/>
      <c r="IE54" s="88"/>
      <c r="IF54" s="88"/>
      <c r="IG54" s="88"/>
      <c r="IH54" s="88"/>
      <c r="II54" s="88"/>
      <c r="IJ54" s="88"/>
      <c r="IK54" s="88"/>
      <c r="IL54" s="88"/>
      <c r="IM54" s="88"/>
      <c r="IN54" s="88"/>
      <c r="IO54" s="88"/>
      <c r="IP54" s="88"/>
      <c r="IQ54" s="88"/>
      <c r="IR54" s="88"/>
      <c r="IS54" s="88"/>
      <c r="IT54" s="88"/>
      <c r="IU54" s="88"/>
      <c r="IV54" s="88"/>
      <c r="IW54" s="89"/>
      <c r="IX54" s="92"/>
      <c r="IY54" s="87"/>
      <c r="IZ54" s="88"/>
      <c r="JA54" s="88"/>
      <c r="JB54" s="88"/>
      <c r="JC54" s="88"/>
      <c r="JD54" s="88"/>
      <c r="JE54" s="88"/>
      <c r="JF54" s="88"/>
      <c r="JG54" s="88"/>
      <c r="JH54" s="88"/>
      <c r="JI54" s="88"/>
      <c r="JJ54" s="88"/>
      <c r="JK54" s="88"/>
      <c r="JL54" s="88"/>
      <c r="JM54" s="88"/>
      <c r="JN54" s="88"/>
      <c r="JO54" s="88"/>
      <c r="JP54" s="88"/>
      <c r="JQ54" s="88"/>
      <c r="JR54" s="88"/>
      <c r="JS54" s="88"/>
      <c r="JT54" s="88"/>
      <c r="JU54" s="88"/>
      <c r="JV54" s="88"/>
      <c r="JW54" s="88"/>
      <c r="JX54" s="88"/>
      <c r="JY54" s="88"/>
      <c r="JZ54" s="88"/>
      <c r="KA54" s="89"/>
      <c r="KB54" s="90"/>
      <c r="KC54" s="88"/>
      <c r="KD54" s="88"/>
      <c r="KE54" s="88"/>
      <c r="KF54" s="88"/>
      <c r="KG54" s="88"/>
    </row>
    <row r="55" customFormat="false" ht="22.5" hidden="false" customHeight="true" outlineLevel="0" collapsed="false">
      <c r="B55" s="113" t="n">
        <v>3</v>
      </c>
      <c r="C55" s="145" t="s">
        <v>172</v>
      </c>
      <c r="D55" s="58"/>
      <c r="E55" s="115"/>
      <c r="F55" s="116"/>
      <c r="G55" s="117"/>
      <c r="H55" s="146"/>
      <c r="I55" s="119"/>
      <c r="J55" s="120"/>
      <c r="K55" s="121"/>
      <c r="L55" s="66"/>
      <c r="M55" s="67" t="n">
        <f aca="false">IFERROR($F$186/$E$186,"")</f>
        <v>1</v>
      </c>
      <c r="N55" s="68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3"/>
      <c r="AK55" s="73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3"/>
      <c r="BO55" s="73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4"/>
      <c r="CT55" s="73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5"/>
      <c r="DV55" s="68"/>
      <c r="DW55" s="122"/>
      <c r="DX55" s="122"/>
      <c r="DY55" s="122"/>
      <c r="DZ55" s="122"/>
      <c r="EA55" s="122"/>
      <c r="EB55" s="122"/>
      <c r="EC55" s="122"/>
      <c r="ED55" s="123"/>
      <c r="EE55" s="73"/>
      <c r="EF55" s="122"/>
      <c r="EG55" s="122"/>
      <c r="EH55" s="122"/>
      <c r="EI55" s="122"/>
      <c r="EJ55" s="122"/>
      <c r="EK55" s="122"/>
      <c r="EL55" s="122"/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3"/>
      <c r="FJ55" s="73"/>
      <c r="FK55" s="122"/>
      <c r="FL55" s="122"/>
      <c r="FM55" s="122"/>
      <c r="FN55" s="122"/>
      <c r="FO55" s="122"/>
      <c r="FP55" s="122"/>
      <c r="FQ55" s="122"/>
      <c r="FR55" s="122"/>
      <c r="FS55" s="122"/>
      <c r="FT55" s="122"/>
      <c r="FU55" s="122"/>
      <c r="FV55" s="122"/>
      <c r="FW55" s="122"/>
      <c r="FX55" s="122"/>
      <c r="FY55" s="122"/>
      <c r="FZ55" s="122"/>
      <c r="GA55" s="122"/>
      <c r="GB55" s="122"/>
      <c r="GC55" s="122"/>
      <c r="GD55" s="122"/>
      <c r="GE55" s="122"/>
      <c r="GF55" s="122"/>
      <c r="GG55" s="122"/>
      <c r="GH55" s="122"/>
      <c r="GI55" s="122"/>
      <c r="GJ55" s="122"/>
      <c r="GK55" s="122"/>
      <c r="GL55" s="122"/>
      <c r="GM55" s="122"/>
      <c r="GN55" s="123"/>
      <c r="GO55" s="73"/>
      <c r="GP55" s="122"/>
      <c r="GQ55" s="122"/>
      <c r="GR55" s="122"/>
      <c r="GS55" s="122"/>
      <c r="GT55" s="122"/>
      <c r="GU55" s="122"/>
      <c r="GV55" s="122"/>
      <c r="GW55" s="122"/>
      <c r="GX55" s="122"/>
      <c r="GY55" s="122"/>
      <c r="GZ55" s="122"/>
      <c r="HA55" s="122"/>
      <c r="HB55" s="122"/>
      <c r="HC55" s="122"/>
      <c r="HD55" s="122"/>
      <c r="HE55" s="122"/>
      <c r="HF55" s="122"/>
      <c r="HG55" s="122"/>
      <c r="HH55" s="122"/>
      <c r="HI55" s="122"/>
      <c r="HJ55" s="122"/>
      <c r="HK55" s="122"/>
      <c r="HL55" s="122"/>
      <c r="HM55" s="122"/>
      <c r="HN55" s="122"/>
      <c r="HO55" s="125"/>
      <c r="HP55" s="68"/>
      <c r="HQ55" s="122"/>
      <c r="HR55" s="123"/>
      <c r="HS55" s="73"/>
      <c r="HT55" s="122"/>
      <c r="HU55" s="122"/>
      <c r="HV55" s="122"/>
      <c r="HW55" s="122"/>
      <c r="HX55" s="122"/>
      <c r="HY55" s="122"/>
      <c r="HZ55" s="122"/>
      <c r="IA55" s="122"/>
      <c r="IB55" s="122"/>
      <c r="IC55" s="122"/>
      <c r="ID55" s="122"/>
      <c r="IE55" s="122"/>
      <c r="IF55" s="122"/>
      <c r="IG55" s="122"/>
      <c r="IH55" s="122"/>
      <c r="II55" s="122"/>
      <c r="IJ55" s="122"/>
      <c r="IK55" s="122"/>
      <c r="IL55" s="122"/>
      <c r="IM55" s="122"/>
      <c r="IN55" s="122"/>
      <c r="IO55" s="122"/>
      <c r="IP55" s="122"/>
      <c r="IQ55" s="122"/>
      <c r="IR55" s="122"/>
      <c r="IS55" s="122"/>
      <c r="IT55" s="122"/>
      <c r="IU55" s="122"/>
      <c r="IV55" s="122"/>
      <c r="IW55" s="123"/>
      <c r="IX55" s="125"/>
      <c r="IY55" s="68"/>
      <c r="IZ55" s="122"/>
      <c r="JA55" s="122"/>
      <c r="JB55" s="122"/>
      <c r="JC55" s="122"/>
      <c r="JD55" s="122"/>
      <c r="JE55" s="122"/>
      <c r="JF55" s="122"/>
      <c r="JG55" s="122"/>
      <c r="JH55" s="122"/>
      <c r="JI55" s="122"/>
      <c r="JJ55" s="122"/>
      <c r="JK55" s="122"/>
      <c r="JL55" s="122"/>
      <c r="JM55" s="122"/>
      <c r="JN55" s="122"/>
      <c r="JO55" s="122"/>
      <c r="JP55" s="122"/>
      <c r="JQ55" s="122"/>
      <c r="JR55" s="122"/>
      <c r="JS55" s="122"/>
      <c r="JT55" s="122"/>
      <c r="JU55" s="122"/>
      <c r="JV55" s="122"/>
      <c r="JW55" s="122"/>
      <c r="JX55" s="122"/>
      <c r="JY55" s="122"/>
      <c r="JZ55" s="122"/>
      <c r="KA55" s="123"/>
      <c r="KB55" s="73"/>
      <c r="KC55" s="122"/>
      <c r="KD55" s="122"/>
      <c r="KE55" s="122"/>
      <c r="KF55" s="122"/>
      <c r="KG55" s="122"/>
    </row>
    <row r="56" customFormat="false" ht="22.5" hidden="false" customHeight="true" outlineLevel="1" collapsed="false">
      <c r="B56" s="75" t="n">
        <v>3.1</v>
      </c>
      <c r="C56" s="147" t="s">
        <v>173</v>
      </c>
      <c r="D56" s="127" t="s">
        <v>174</v>
      </c>
      <c r="E56" s="128" t="n">
        <v>3</v>
      </c>
      <c r="F56" s="129" t="n">
        <v>3</v>
      </c>
      <c r="G56" s="130" t="n">
        <f aca="false">E56-F56</f>
        <v>0</v>
      </c>
      <c r="H56" s="131" t="n">
        <v>1</v>
      </c>
      <c r="I56" s="132" t="s">
        <v>170</v>
      </c>
      <c r="J56" s="133" t="n">
        <v>46191</v>
      </c>
      <c r="K56" s="133" t="n">
        <v>46191</v>
      </c>
      <c r="L56" s="135" t="n">
        <f aca="false">K60-J60</f>
        <v>0</v>
      </c>
      <c r="M56" s="136" t="n">
        <f aca="false">IFERROR(F56/E56,"")</f>
        <v>1</v>
      </c>
      <c r="N56" s="87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9"/>
      <c r="AK56" s="90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9"/>
      <c r="BO56" s="90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91"/>
      <c r="CT56" s="90"/>
      <c r="CU56" s="88"/>
      <c r="CV56" s="88"/>
      <c r="CW56" s="88"/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  <c r="DL56" s="88"/>
      <c r="DM56" s="88"/>
      <c r="DN56" s="88"/>
      <c r="DO56" s="88"/>
      <c r="DP56" s="88"/>
      <c r="DQ56" s="88"/>
      <c r="DR56" s="88"/>
      <c r="DS56" s="88"/>
      <c r="DT56" s="88"/>
      <c r="DU56" s="92"/>
      <c r="DV56" s="87"/>
      <c r="DW56" s="88"/>
      <c r="DX56" s="88"/>
      <c r="DY56" s="88"/>
      <c r="DZ56" s="88"/>
      <c r="EA56" s="88"/>
      <c r="EB56" s="88"/>
      <c r="EC56" s="88"/>
      <c r="ED56" s="89"/>
      <c r="EE56" s="90"/>
      <c r="EF56" s="88"/>
      <c r="EG56" s="88"/>
      <c r="EH56" s="88"/>
      <c r="EI56" s="88"/>
      <c r="EJ56" s="88"/>
      <c r="EK56" s="88"/>
      <c r="EL56" s="88"/>
      <c r="EM56" s="88"/>
      <c r="EN56" s="88"/>
      <c r="EO56" s="88"/>
      <c r="EP56" s="88"/>
      <c r="EQ56" s="88"/>
      <c r="ER56" s="88"/>
      <c r="ES56" s="88"/>
      <c r="ET56" s="88"/>
      <c r="EU56" s="88"/>
      <c r="EV56" s="88"/>
      <c r="EW56" s="88"/>
      <c r="EX56" s="88"/>
      <c r="EY56" s="88"/>
      <c r="EZ56" s="88"/>
      <c r="FA56" s="88"/>
      <c r="FB56" s="88"/>
      <c r="FC56" s="88"/>
      <c r="FD56" s="88"/>
      <c r="FE56" s="88"/>
      <c r="FF56" s="88"/>
      <c r="FG56" s="88"/>
      <c r="FH56" s="88"/>
      <c r="FI56" s="89"/>
      <c r="FJ56" s="90"/>
      <c r="FK56" s="88"/>
      <c r="FL56" s="88"/>
      <c r="FM56" s="88"/>
      <c r="FN56" s="88"/>
      <c r="FO56" s="88"/>
      <c r="FP56" s="88"/>
      <c r="FQ56" s="88"/>
      <c r="FR56" s="88"/>
      <c r="FS56" s="88"/>
      <c r="FT56" s="88"/>
      <c r="FU56" s="88"/>
      <c r="FV56" s="88"/>
      <c r="FW56" s="88"/>
      <c r="FX56" s="88"/>
      <c r="FY56" s="88"/>
      <c r="FZ56" s="88"/>
      <c r="GA56" s="88"/>
      <c r="GB56" s="88"/>
      <c r="GC56" s="88"/>
      <c r="GD56" s="88"/>
      <c r="GE56" s="88"/>
      <c r="GF56" s="88"/>
      <c r="GG56" s="88"/>
      <c r="GH56" s="88"/>
      <c r="GI56" s="88"/>
      <c r="GJ56" s="88"/>
      <c r="GK56" s="88"/>
      <c r="GL56" s="88"/>
      <c r="GM56" s="88"/>
      <c r="GN56" s="89"/>
      <c r="GO56" s="90"/>
      <c r="GP56" s="88"/>
      <c r="GQ56" s="88"/>
      <c r="GR56" s="88"/>
      <c r="GS56" s="88"/>
      <c r="GT56" s="88"/>
      <c r="GU56" s="88"/>
      <c r="GV56" s="88"/>
      <c r="GW56" s="88"/>
      <c r="GX56" s="88"/>
      <c r="GY56" s="88"/>
      <c r="GZ56" s="88"/>
      <c r="HA56" s="88"/>
      <c r="HB56" s="88"/>
      <c r="HC56" s="88"/>
      <c r="HD56" s="88"/>
      <c r="HE56" s="88"/>
      <c r="HF56" s="88"/>
      <c r="HG56" s="88"/>
      <c r="HH56" s="88"/>
      <c r="HI56" s="88"/>
      <c r="HJ56" s="88"/>
      <c r="HK56" s="88"/>
      <c r="HL56" s="88"/>
      <c r="HM56" s="88"/>
      <c r="HN56" s="88"/>
      <c r="HO56" s="92"/>
      <c r="HP56" s="87"/>
      <c r="HQ56" s="88"/>
      <c r="HR56" s="89"/>
      <c r="HS56" s="90"/>
      <c r="HT56" s="88"/>
      <c r="HU56" s="88"/>
      <c r="HV56" s="88"/>
      <c r="HW56" s="88"/>
      <c r="HX56" s="88"/>
      <c r="HY56" s="88"/>
      <c r="HZ56" s="88"/>
      <c r="IA56" s="88"/>
      <c r="IB56" s="88"/>
      <c r="IC56" s="88"/>
      <c r="ID56" s="88"/>
      <c r="IE56" s="88"/>
      <c r="IF56" s="88"/>
      <c r="IG56" s="88"/>
      <c r="IH56" s="88"/>
      <c r="II56" s="88"/>
      <c r="IJ56" s="88"/>
      <c r="IK56" s="88"/>
      <c r="IL56" s="88"/>
      <c r="IM56" s="88"/>
      <c r="IN56" s="88"/>
      <c r="IO56" s="88"/>
      <c r="IP56" s="88"/>
      <c r="IQ56" s="88"/>
      <c r="IR56" s="88"/>
      <c r="IS56" s="88"/>
      <c r="IT56" s="88"/>
      <c r="IU56" s="88"/>
      <c r="IV56" s="88"/>
      <c r="IW56" s="89"/>
      <c r="IX56" s="92"/>
      <c r="IY56" s="87"/>
      <c r="IZ56" s="88"/>
      <c r="JA56" s="88"/>
      <c r="JB56" s="88"/>
      <c r="JC56" s="88"/>
      <c r="JD56" s="88"/>
      <c r="JE56" s="88"/>
      <c r="JF56" s="88"/>
      <c r="JG56" s="88"/>
      <c r="JH56" s="88"/>
      <c r="JI56" s="88"/>
      <c r="JJ56" s="88"/>
      <c r="JK56" s="88"/>
      <c r="JL56" s="88"/>
      <c r="JM56" s="88"/>
      <c r="JN56" s="88"/>
      <c r="JO56" s="88"/>
      <c r="JP56" s="88"/>
      <c r="JQ56" s="88"/>
      <c r="JR56" s="88"/>
      <c r="JS56" s="88"/>
      <c r="JT56" s="88"/>
      <c r="JU56" s="88"/>
      <c r="JV56" s="88"/>
      <c r="JW56" s="88"/>
      <c r="JX56" s="88"/>
      <c r="JY56" s="88"/>
      <c r="JZ56" s="88"/>
      <c r="KA56" s="89"/>
      <c r="KB56" s="90"/>
      <c r="KC56" s="88"/>
      <c r="KD56" s="88"/>
      <c r="KE56" s="88"/>
      <c r="KF56" s="88"/>
      <c r="KG56" s="88"/>
    </row>
    <row r="57" customFormat="false" ht="22.5" hidden="false" customHeight="true" outlineLevel="1" collapsed="false">
      <c r="B57" s="75" t="s">
        <v>175</v>
      </c>
      <c r="C57" s="147" t="s">
        <v>176</v>
      </c>
      <c r="D57" s="127" t="s">
        <v>177</v>
      </c>
      <c r="E57" s="128" t="n">
        <v>4</v>
      </c>
      <c r="F57" s="129" t="n">
        <v>4</v>
      </c>
      <c r="G57" s="141" t="n">
        <f aca="false">E57-F57</f>
        <v>0</v>
      </c>
      <c r="H57" s="131" t="n">
        <v>2</v>
      </c>
      <c r="I57" s="132" t="s">
        <v>178</v>
      </c>
      <c r="J57" s="133" t="n">
        <v>46192</v>
      </c>
      <c r="K57" s="133" t="n">
        <v>46193</v>
      </c>
      <c r="L57" s="143" t="n">
        <f aca="false">K57-J57</f>
        <v>1</v>
      </c>
      <c r="M57" s="136" t="n">
        <f aca="false">IFERROR(F57/E57,"")</f>
        <v>1</v>
      </c>
      <c r="N57" s="87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9"/>
      <c r="AK57" s="90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9"/>
      <c r="BO57" s="90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91"/>
      <c r="CT57" s="90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  <c r="DU57" s="92"/>
      <c r="DV57" s="87"/>
      <c r="DW57" s="88"/>
      <c r="DX57" s="88"/>
      <c r="DY57" s="88"/>
      <c r="DZ57" s="88"/>
      <c r="EA57" s="88"/>
      <c r="EB57" s="88"/>
      <c r="EC57" s="88"/>
      <c r="ED57" s="89"/>
      <c r="EE57" s="90"/>
      <c r="EF57" s="88"/>
      <c r="EG57" s="88"/>
      <c r="EH57" s="88"/>
      <c r="EI57" s="88"/>
      <c r="EJ57" s="88"/>
      <c r="EK57" s="88"/>
      <c r="EL57" s="88"/>
      <c r="EM57" s="88"/>
      <c r="EN57" s="88"/>
      <c r="EO57" s="88"/>
      <c r="EP57" s="88"/>
      <c r="EQ57" s="88"/>
      <c r="ER57" s="88"/>
      <c r="ES57" s="88"/>
      <c r="ET57" s="88"/>
      <c r="EU57" s="88"/>
      <c r="EV57" s="88"/>
      <c r="EW57" s="88"/>
      <c r="EX57" s="88"/>
      <c r="EY57" s="88"/>
      <c r="EZ57" s="88"/>
      <c r="FA57" s="88"/>
      <c r="FB57" s="88"/>
      <c r="FC57" s="88"/>
      <c r="FD57" s="88"/>
      <c r="FE57" s="88"/>
      <c r="FF57" s="88"/>
      <c r="FG57" s="88"/>
      <c r="FH57" s="88"/>
      <c r="FI57" s="89"/>
      <c r="FJ57" s="90"/>
      <c r="FK57" s="88"/>
      <c r="FL57" s="88"/>
      <c r="FM57" s="88"/>
      <c r="FN57" s="88"/>
      <c r="FO57" s="88"/>
      <c r="FP57" s="88"/>
      <c r="FQ57" s="88"/>
      <c r="FR57" s="88"/>
      <c r="FS57" s="88"/>
      <c r="FT57" s="88"/>
      <c r="FU57" s="88"/>
      <c r="FV57" s="88"/>
      <c r="FW57" s="88"/>
      <c r="FX57" s="88"/>
      <c r="FY57" s="88"/>
      <c r="FZ57" s="88"/>
      <c r="GA57" s="88"/>
      <c r="GB57" s="88"/>
      <c r="GC57" s="88"/>
      <c r="GD57" s="88"/>
      <c r="GE57" s="88"/>
      <c r="GF57" s="88"/>
      <c r="GG57" s="88"/>
      <c r="GH57" s="88"/>
      <c r="GI57" s="88"/>
      <c r="GJ57" s="88"/>
      <c r="GK57" s="88"/>
      <c r="GL57" s="88"/>
      <c r="GM57" s="88"/>
      <c r="GN57" s="89"/>
      <c r="GO57" s="90"/>
      <c r="GP57" s="88"/>
      <c r="GQ57" s="88"/>
      <c r="GR57" s="88"/>
      <c r="GS57" s="88"/>
      <c r="GT57" s="88"/>
      <c r="GU57" s="88"/>
      <c r="GV57" s="88"/>
      <c r="GW57" s="88"/>
      <c r="GX57" s="88"/>
      <c r="GY57" s="88"/>
      <c r="GZ57" s="88"/>
      <c r="HA57" s="88"/>
      <c r="HB57" s="88"/>
      <c r="HC57" s="88"/>
      <c r="HD57" s="88"/>
      <c r="HE57" s="88"/>
      <c r="HF57" s="88"/>
      <c r="HG57" s="88"/>
      <c r="HH57" s="88"/>
      <c r="HI57" s="88"/>
      <c r="HJ57" s="88"/>
      <c r="HK57" s="88"/>
      <c r="HL57" s="88"/>
      <c r="HM57" s="88"/>
      <c r="HN57" s="88"/>
      <c r="HO57" s="92"/>
      <c r="HP57" s="87"/>
      <c r="HQ57" s="88"/>
      <c r="HR57" s="89"/>
      <c r="HS57" s="90"/>
      <c r="HT57" s="88"/>
      <c r="HU57" s="88"/>
      <c r="HV57" s="88"/>
      <c r="HW57" s="88"/>
      <c r="HX57" s="88"/>
      <c r="HY57" s="88"/>
      <c r="HZ57" s="88"/>
      <c r="IA57" s="88"/>
      <c r="IB57" s="88"/>
      <c r="IC57" s="88"/>
      <c r="ID57" s="88"/>
      <c r="IE57" s="88"/>
      <c r="IF57" s="88"/>
      <c r="IG57" s="88"/>
      <c r="IH57" s="88"/>
      <c r="II57" s="88"/>
      <c r="IJ57" s="88"/>
      <c r="IK57" s="88"/>
      <c r="IL57" s="88"/>
      <c r="IM57" s="88"/>
      <c r="IN57" s="88"/>
      <c r="IO57" s="88"/>
      <c r="IP57" s="88"/>
      <c r="IQ57" s="88"/>
      <c r="IR57" s="88"/>
      <c r="IS57" s="88"/>
      <c r="IT57" s="88"/>
      <c r="IU57" s="88"/>
      <c r="IV57" s="88"/>
      <c r="IW57" s="89"/>
      <c r="IX57" s="92"/>
      <c r="IY57" s="87"/>
      <c r="IZ57" s="88"/>
      <c r="JA57" s="88"/>
      <c r="JB57" s="88"/>
      <c r="JC57" s="88"/>
      <c r="JD57" s="88"/>
      <c r="JE57" s="88"/>
      <c r="JF57" s="88"/>
      <c r="JG57" s="88"/>
      <c r="JH57" s="88"/>
      <c r="JI57" s="88"/>
      <c r="JJ57" s="88"/>
      <c r="JK57" s="88"/>
      <c r="JL57" s="88"/>
      <c r="JM57" s="88"/>
      <c r="JN57" s="88"/>
      <c r="JO57" s="88"/>
      <c r="JP57" s="88"/>
      <c r="JQ57" s="88"/>
      <c r="JR57" s="88"/>
      <c r="JS57" s="88"/>
      <c r="JT57" s="88"/>
      <c r="JU57" s="88"/>
      <c r="JV57" s="88"/>
      <c r="JW57" s="88"/>
      <c r="JX57" s="88"/>
      <c r="JY57" s="88"/>
      <c r="JZ57" s="88"/>
      <c r="KA57" s="89"/>
      <c r="KB57" s="90"/>
      <c r="KC57" s="88"/>
      <c r="KD57" s="88"/>
      <c r="KE57" s="88"/>
      <c r="KF57" s="88"/>
      <c r="KG57" s="88"/>
    </row>
    <row r="58" customFormat="false" ht="22.5" hidden="false" customHeight="true" outlineLevel="1" collapsed="false">
      <c r="B58" s="75" t="s">
        <v>179</v>
      </c>
      <c r="C58" s="147" t="s">
        <v>180</v>
      </c>
      <c r="D58" s="127" t="s">
        <v>181</v>
      </c>
      <c r="E58" s="128" t="n">
        <v>2</v>
      </c>
      <c r="F58" s="129" t="n">
        <v>2</v>
      </c>
      <c r="G58" s="141" t="n">
        <f aca="false">E58-F58</f>
        <v>0</v>
      </c>
      <c r="H58" s="131" t="n">
        <v>2</v>
      </c>
      <c r="I58" s="132" t="s">
        <v>178</v>
      </c>
      <c r="J58" s="133" t="n">
        <v>46192</v>
      </c>
      <c r="K58" s="133" t="n">
        <v>46192</v>
      </c>
      <c r="L58" s="143" t="n">
        <f aca="false">K58-J58</f>
        <v>0</v>
      </c>
      <c r="M58" s="136" t="n">
        <f aca="false">IFERROR(F58/E58,"")</f>
        <v>1</v>
      </c>
      <c r="N58" s="87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9"/>
      <c r="AK58" s="90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9"/>
      <c r="BO58" s="90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91"/>
      <c r="CT58" s="90"/>
      <c r="CU58" s="88"/>
      <c r="CV58" s="88"/>
      <c r="CW58" s="88"/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  <c r="DL58" s="88"/>
      <c r="DM58" s="88"/>
      <c r="DN58" s="88"/>
      <c r="DO58" s="88"/>
      <c r="DP58" s="88"/>
      <c r="DQ58" s="88"/>
      <c r="DR58" s="88"/>
      <c r="DS58" s="88"/>
      <c r="DT58" s="88"/>
      <c r="DU58" s="92"/>
      <c r="DV58" s="87"/>
      <c r="DW58" s="88"/>
      <c r="DX58" s="88"/>
      <c r="DY58" s="88"/>
      <c r="DZ58" s="88"/>
      <c r="EA58" s="88"/>
      <c r="EB58" s="88"/>
      <c r="EC58" s="88"/>
      <c r="ED58" s="89"/>
      <c r="EE58" s="90"/>
      <c r="EF58" s="88"/>
      <c r="EG58" s="88"/>
      <c r="EH58" s="88"/>
      <c r="EI58" s="88"/>
      <c r="EJ58" s="88"/>
      <c r="EK58" s="88"/>
      <c r="EL58" s="88"/>
      <c r="EM58" s="88"/>
      <c r="EN58" s="88"/>
      <c r="EO58" s="88"/>
      <c r="EP58" s="88"/>
      <c r="EQ58" s="88"/>
      <c r="ER58" s="88"/>
      <c r="ES58" s="88"/>
      <c r="ET58" s="88"/>
      <c r="EU58" s="88"/>
      <c r="EV58" s="88"/>
      <c r="EW58" s="88"/>
      <c r="EX58" s="88"/>
      <c r="EY58" s="88"/>
      <c r="EZ58" s="88"/>
      <c r="FA58" s="88"/>
      <c r="FB58" s="88"/>
      <c r="FC58" s="88"/>
      <c r="FD58" s="88"/>
      <c r="FE58" s="88"/>
      <c r="FF58" s="88"/>
      <c r="FG58" s="88"/>
      <c r="FH58" s="88"/>
      <c r="FI58" s="89"/>
      <c r="FJ58" s="90"/>
      <c r="FK58" s="88"/>
      <c r="FL58" s="88"/>
      <c r="FM58" s="88"/>
      <c r="FN58" s="88"/>
      <c r="FO58" s="88"/>
      <c r="FP58" s="88"/>
      <c r="FQ58" s="88"/>
      <c r="FR58" s="88"/>
      <c r="FS58" s="88"/>
      <c r="FT58" s="88"/>
      <c r="FU58" s="88"/>
      <c r="FV58" s="88"/>
      <c r="FW58" s="88"/>
      <c r="FX58" s="88"/>
      <c r="FY58" s="88"/>
      <c r="FZ58" s="88"/>
      <c r="GA58" s="88"/>
      <c r="GB58" s="88"/>
      <c r="GC58" s="88"/>
      <c r="GD58" s="88"/>
      <c r="GE58" s="88"/>
      <c r="GF58" s="88"/>
      <c r="GG58" s="88"/>
      <c r="GH58" s="88"/>
      <c r="GI58" s="88"/>
      <c r="GJ58" s="88"/>
      <c r="GK58" s="88"/>
      <c r="GL58" s="88"/>
      <c r="GM58" s="88"/>
      <c r="GN58" s="89"/>
      <c r="GO58" s="90"/>
      <c r="GP58" s="88"/>
      <c r="GQ58" s="88"/>
      <c r="GR58" s="88"/>
      <c r="GS58" s="88"/>
      <c r="GT58" s="88"/>
      <c r="GU58" s="88"/>
      <c r="GV58" s="88"/>
      <c r="GW58" s="88"/>
      <c r="GX58" s="88"/>
      <c r="GY58" s="88"/>
      <c r="GZ58" s="88"/>
      <c r="HA58" s="88"/>
      <c r="HB58" s="88"/>
      <c r="HC58" s="88"/>
      <c r="HD58" s="88"/>
      <c r="HE58" s="88"/>
      <c r="HF58" s="88"/>
      <c r="HG58" s="88"/>
      <c r="HH58" s="88"/>
      <c r="HI58" s="88"/>
      <c r="HJ58" s="88"/>
      <c r="HK58" s="88"/>
      <c r="HL58" s="88"/>
      <c r="HM58" s="88"/>
      <c r="HN58" s="88"/>
      <c r="HO58" s="92"/>
      <c r="HP58" s="87"/>
      <c r="HQ58" s="88"/>
      <c r="HR58" s="89"/>
      <c r="HS58" s="90"/>
      <c r="HT58" s="88"/>
      <c r="HU58" s="88"/>
      <c r="HV58" s="88"/>
      <c r="HW58" s="88"/>
      <c r="HX58" s="88"/>
      <c r="HY58" s="88"/>
      <c r="HZ58" s="88"/>
      <c r="IA58" s="88"/>
      <c r="IB58" s="88"/>
      <c r="IC58" s="88"/>
      <c r="ID58" s="88"/>
      <c r="IE58" s="88"/>
      <c r="IF58" s="88"/>
      <c r="IG58" s="88"/>
      <c r="IH58" s="88"/>
      <c r="II58" s="88"/>
      <c r="IJ58" s="88"/>
      <c r="IK58" s="88"/>
      <c r="IL58" s="88"/>
      <c r="IM58" s="88"/>
      <c r="IN58" s="88"/>
      <c r="IO58" s="88"/>
      <c r="IP58" s="88"/>
      <c r="IQ58" s="88"/>
      <c r="IR58" s="88"/>
      <c r="IS58" s="88"/>
      <c r="IT58" s="88"/>
      <c r="IU58" s="88"/>
      <c r="IV58" s="88"/>
      <c r="IW58" s="89"/>
      <c r="IX58" s="92"/>
      <c r="IY58" s="87"/>
      <c r="IZ58" s="88"/>
      <c r="JA58" s="88"/>
      <c r="JB58" s="88"/>
      <c r="JC58" s="88"/>
      <c r="JD58" s="88"/>
      <c r="JE58" s="88"/>
      <c r="JF58" s="88"/>
      <c r="JG58" s="88"/>
      <c r="JH58" s="88"/>
      <c r="JI58" s="88"/>
      <c r="JJ58" s="88"/>
      <c r="JK58" s="88"/>
      <c r="JL58" s="88"/>
      <c r="JM58" s="88"/>
      <c r="JN58" s="88"/>
      <c r="JO58" s="88"/>
      <c r="JP58" s="88"/>
      <c r="JQ58" s="88"/>
      <c r="JR58" s="88"/>
      <c r="JS58" s="88"/>
      <c r="JT58" s="88"/>
      <c r="JU58" s="88"/>
      <c r="JV58" s="88"/>
      <c r="JW58" s="88"/>
      <c r="JX58" s="88"/>
      <c r="JY58" s="88"/>
      <c r="JZ58" s="88"/>
      <c r="KA58" s="89"/>
      <c r="KB58" s="90"/>
      <c r="KC58" s="88"/>
      <c r="KD58" s="88"/>
      <c r="KE58" s="88"/>
      <c r="KF58" s="88"/>
      <c r="KG58" s="88"/>
    </row>
    <row r="59" customFormat="false" ht="22.5" hidden="false" customHeight="true" outlineLevel="1" collapsed="false">
      <c r="B59" s="75" t="s">
        <v>182</v>
      </c>
      <c r="C59" s="138" t="s">
        <v>183</v>
      </c>
      <c r="D59" s="127" t="s">
        <v>181</v>
      </c>
      <c r="E59" s="139" t="n">
        <v>5</v>
      </c>
      <c r="F59" s="140" t="n">
        <v>5</v>
      </c>
      <c r="G59" s="141" t="n">
        <f aca="false">E59-F59</f>
        <v>0</v>
      </c>
      <c r="H59" s="142" t="n">
        <v>2</v>
      </c>
      <c r="I59" s="148" t="s">
        <v>179</v>
      </c>
      <c r="J59" s="149" t="n">
        <v>46193</v>
      </c>
      <c r="K59" s="149" t="n">
        <v>46195</v>
      </c>
      <c r="L59" s="143" t="n">
        <f aca="false">K71-J59</f>
        <v>16</v>
      </c>
      <c r="M59" s="136" t="n">
        <f aca="false">IFERROR(F59/E59,"")</f>
        <v>1</v>
      </c>
      <c r="N59" s="87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9"/>
      <c r="AK59" s="90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9"/>
      <c r="BO59" s="90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  <c r="CE59" s="88"/>
      <c r="CF59" s="88"/>
      <c r="CG59" s="88"/>
      <c r="CH59" s="88"/>
      <c r="CI59" s="88"/>
      <c r="CJ59" s="88"/>
      <c r="CK59" s="88"/>
      <c r="CL59" s="88"/>
      <c r="CM59" s="88"/>
      <c r="CN59" s="88"/>
      <c r="CO59" s="88"/>
      <c r="CP59" s="88"/>
      <c r="CQ59" s="88"/>
      <c r="CR59" s="88"/>
      <c r="CS59" s="91"/>
      <c r="CT59" s="90"/>
      <c r="CU59" s="88"/>
      <c r="CV59" s="88"/>
      <c r="CW59" s="88"/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  <c r="DL59" s="88"/>
      <c r="DM59" s="88"/>
      <c r="DN59" s="88"/>
      <c r="DO59" s="88"/>
      <c r="DP59" s="88"/>
      <c r="DQ59" s="88"/>
      <c r="DR59" s="88"/>
      <c r="DS59" s="88"/>
      <c r="DT59" s="88"/>
      <c r="DU59" s="92"/>
      <c r="DV59" s="87"/>
      <c r="DW59" s="88"/>
      <c r="DX59" s="88"/>
      <c r="DY59" s="88"/>
      <c r="DZ59" s="88"/>
      <c r="EA59" s="88"/>
      <c r="EB59" s="88"/>
      <c r="EC59" s="88"/>
      <c r="ED59" s="89"/>
      <c r="EE59" s="90"/>
      <c r="EF59" s="88"/>
      <c r="EG59" s="88"/>
      <c r="EH59" s="88"/>
      <c r="EI59" s="88"/>
      <c r="EJ59" s="88"/>
      <c r="EK59" s="88"/>
      <c r="EL59" s="88"/>
      <c r="EM59" s="88"/>
      <c r="EN59" s="88"/>
      <c r="EO59" s="88"/>
      <c r="EP59" s="88"/>
      <c r="EQ59" s="88"/>
      <c r="ER59" s="88"/>
      <c r="ES59" s="88"/>
      <c r="ET59" s="88"/>
      <c r="EU59" s="88"/>
      <c r="EV59" s="88"/>
      <c r="EW59" s="88"/>
      <c r="EX59" s="88"/>
      <c r="EY59" s="88"/>
      <c r="EZ59" s="88"/>
      <c r="FA59" s="88"/>
      <c r="FB59" s="88"/>
      <c r="FC59" s="88"/>
      <c r="FD59" s="88"/>
      <c r="FE59" s="88"/>
      <c r="FF59" s="88"/>
      <c r="FG59" s="88"/>
      <c r="FH59" s="88"/>
      <c r="FI59" s="89"/>
      <c r="FJ59" s="90"/>
      <c r="FK59" s="88"/>
      <c r="FL59" s="88"/>
      <c r="FM59" s="88"/>
      <c r="FN59" s="88"/>
      <c r="FO59" s="88"/>
      <c r="FP59" s="88"/>
      <c r="FQ59" s="88"/>
      <c r="FR59" s="88"/>
      <c r="FS59" s="88"/>
      <c r="FT59" s="88"/>
      <c r="FU59" s="88"/>
      <c r="FV59" s="88"/>
      <c r="FW59" s="88"/>
      <c r="FX59" s="88"/>
      <c r="FY59" s="88"/>
      <c r="FZ59" s="88"/>
      <c r="GA59" s="88"/>
      <c r="GB59" s="88"/>
      <c r="GC59" s="88"/>
      <c r="GD59" s="88"/>
      <c r="GE59" s="88"/>
      <c r="GF59" s="88"/>
      <c r="GG59" s="88"/>
      <c r="GH59" s="88"/>
      <c r="GI59" s="88"/>
      <c r="GJ59" s="88"/>
      <c r="GK59" s="88"/>
      <c r="GL59" s="88"/>
      <c r="GM59" s="88"/>
      <c r="GN59" s="89"/>
      <c r="GO59" s="90"/>
      <c r="GP59" s="88"/>
      <c r="GQ59" s="88"/>
      <c r="GR59" s="88"/>
      <c r="GS59" s="88"/>
      <c r="GT59" s="88"/>
      <c r="GU59" s="88"/>
      <c r="GV59" s="88"/>
      <c r="GW59" s="88"/>
      <c r="GX59" s="88"/>
      <c r="GY59" s="88"/>
      <c r="GZ59" s="88"/>
      <c r="HA59" s="88"/>
      <c r="HB59" s="88"/>
      <c r="HC59" s="88"/>
      <c r="HD59" s="88"/>
      <c r="HE59" s="88"/>
      <c r="HF59" s="88"/>
      <c r="HG59" s="88"/>
      <c r="HH59" s="88"/>
      <c r="HI59" s="88"/>
      <c r="HJ59" s="88"/>
      <c r="HK59" s="88"/>
      <c r="HL59" s="88"/>
      <c r="HM59" s="88"/>
      <c r="HN59" s="88"/>
      <c r="HO59" s="92"/>
      <c r="HP59" s="87"/>
      <c r="HQ59" s="88"/>
      <c r="HR59" s="89"/>
      <c r="HS59" s="90"/>
      <c r="HT59" s="88"/>
      <c r="HU59" s="88"/>
      <c r="HV59" s="88"/>
      <c r="HW59" s="88"/>
      <c r="HX59" s="88"/>
      <c r="HY59" s="88"/>
      <c r="HZ59" s="88"/>
      <c r="IA59" s="88"/>
      <c r="IB59" s="88"/>
      <c r="IC59" s="88"/>
      <c r="ID59" s="88"/>
      <c r="IE59" s="88"/>
      <c r="IF59" s="88"/>
      <c r="IG59" s="88"/>
      <c r="IH59" s="88"/>
      <c r="II59" s="88"/>
      <c r="IJ59" s="88"/>
      <c r="IK59" s="88"/>
      <c r="IL59" s="88"/>
      <c r="IM59" s="88"/>
      <c r="IN59" s="88"/>
      <c r="IO59" s="88"/>
      <c r="IP59" s="88"/>
      <c r="IQ59" s="88"/>
      <c r="IR59" s="88"/>
      <c r="IS59" s="88"/>
      <c r="IT59" s="88"/>
      <c r="IU59" s="88"/>
      <c r="IV59" s="88"/>
      <c r="IW59" s="89"/>
      <c r="IX59" s="92"/>
      <c r="IY59" s="87"/>
      <c r="IZ59" s="88"/>
      <c r="JA59" s="88"/>
      <c r="JB59" s="88"/>
      <c r="JC59" s="88"/>
      <c r="JD59" s="88"/>
      <c r="JE59" s="88"/>
      <c r="JF59" s="88"/>
      <c r="JG59" s="88"/>
      <c r="JH59" s="88"/>
      <c r="JI59" s="88"/>
      <c r="JJ59" s="88"/>
      <c r="JK59" s="88"/>
      <c r="JL59" s="88"/>
      <c r="JM59" s="88"/>
      <c r="JN59" s="88"/>
      <c r="JO59" s="88"/>
      <c r="JP59" s="88"/>
      <c r="JQ59" s="88"/>
      <c r="JR59" s="88"/>
      <c r="JS59" s="88"/>
      <c r="JT59" s="88"/>
      <c r="JU59" s="88"/>
      <c r="JV59" s="88"/>
      <c r="JW59" s="88"/>
      <c r="JX59" s="88"/>
      <c r="JY59" s="88"/>
      <c r="JZ59" s="88"/>
      <c r="KA59" s="89"/>
      <c r="KB59" s="90"/>
      <c r="KC59" s="88"/>
      <c r="KD59" s="88"/>
      <c r="KE59" s="88"/>
      <c r="KF59" s="88"/>
      <c r="KG59" s="88"/>
    </row>
    <row r="60" customFormat="false" ht="22.5" hidden="false" customHeight="true" outlineLevel="1" collapsed="false">
      <c r="B60" s="75" t="s">
        <v>184</v>
      </c>
      <c r="C60" s="138" t="s">
        <v>185</v>
      </c>
      <c r="D60" s="127" t="s">
        <v>177</v>
      </c>
      <c r="E60" s="139" t="n">
        <v>2</v>
      </c>
      <c r="F60" s="140" t="n">
        <v>2</v>
      </c>
      <c r="G60" s="141" t="n">
        <f aca="false">E60-F60</f>
        <v>0</v>
      </c>
      <c r="H60" s="142" t="n">
        <v>3</v>
      </c>
      <c r="I60" s="148" t="s">
        <v>175</v>
      </c>
      <c r="J60" s="149" t="n">
        <v>46192</v>
      </c>
      <c r="K60" s="149" t="n">
        <v>46192</v>
      </c>
      <c r="L60" s="143" t="n">
        <f aca="false">K60-J60</f>
        <v>0</v>
      </c>
      <c r="M60" s="136" t="n">
        <f aca="false">IFERROR(F60/E60,"")</f>
        <v>1</v>
      </c>
      <c r="N60" s="87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9"/>
      <c r="AK60" s="90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9"/>
      <c r="BO60" s="90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91"/>
      <c r="CT60" s="90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92"/>
      <c r="DV60" s="87"/>
      <c r="DW60" s="88"/>
      <c r="DX60" s="88"/>
      <c r="DY60" s="88"/>
      <c r="DZ60" s="88"/>
      <c r="EA60" s="88"/>
      <c r="EB60" s="88"/>
      <c r="EC60" s="88"/>
      <c r="ED60" s="89"/>
      <c r="EE60" s="90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9"/>
      <c r="FJ60" s="90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9"/>
      <c r="GO60" s="90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92"/>
      <c r="HP60" s="87"/>
      <c r="HQ60" s="88"/>
      <c r="HR60" s="89"/>
      <c r="HS60" s="90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9"/>
      <c r="IX60" s="92"/>
      <c r="IY60" s="87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9"/>
      <c r="KB60" s="90"/>
      <c r="KC60" s="88"/>
      <c r="KD60" s="88"/>
      <c r="KE60" s="88"/>
      <c r="KF60" s="88"/>
      <c r="KG60" s="88"/>
    </row>
    <row r="61" customFormat="false" ht="22.5" hidden="false" customHeight="true" outlineLevel="1" collapsed="false">
      <c r="B61" s="75" t="s">
        <v>186</v>
      </c>
      <c r="C61" s="138" t="s">
        <v>187</v>
      </c>
      <c r="D61" s="127" t="s">
        <v>177</v>
      </c>
      <c r="E61" s="139" t="n">
        <v>4</v>
      </c>
      <c r="F61" s="140" t="n">
        <v>4</v>
      </c>
      <c r="G61" s="141" t="n">
        <f aca="false">E61-F61</f>
        <v>0</v>
      </c>
      <c r="H61" s="142" t="n">
        <v>3</v>
      </c>
      <c r="I61" s="148" t="s">
        <v>184</v>
      </c>
      <c r="J61" s="149" t="n">
        <v>46193</v>
      </c>
      <c r="K61" s="149" t="n">
        <v>46194</v>
      </c>
      <c r="L61" s="143" t="n">
        <f aca="false">K61-J61</f>
        <v>1</v>
      </c>
      <c r="M61" s="136" t="n">
        <f aca="false">IFERROR(F61/E61,"")</f>
        <v>1</v>
      </c>
      <c r="N61" s="87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9"/>
      <c r="AK61" s="90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9"/>
      <c r="BO61" s="90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  <c r="CE61" s="88"/>
      <c r="CF61" s="88"/>
      <c r="CG61" s="88"/>
      <c r="CH61" s="88"/>
      <c r="CI61" s="88"/>
      <c r="CJ61" s="88"/>
      <c r="CK61" s="88"/>
      <c r="CL61" s="88"/>
      <c r="CM61" s="88"/>
      <c r="CN61" s="88"/>
      <c r="CO61" s="88"/>
      <c r="CP61" s="88"/>
      <c r="CQ61" s="88"/>
      <c r="CR61" s="88"/>
      <c r="CS61" s="91"/>
      <c r="CT61" s="90"/>
      <c r="CU61" s="88"/>
      <c r="CV61" s="88"/>
      <c r="CW61" s="88"/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  <c r="DL61" s="88"/>
      <c r="DM61" s="88"/>
      <c r="DN61" s="88"/>
      <c r="DO61" s="88"/>
      <c r="DP61" s="88"/>
      <c r="DQ61" s="88"/>
      <c r="DR61" s="88"/>
      <c r="DS61" s="88"/>
      <c r="DT61" s="88"/>
      <c r="DU61" s="92"/>
      <c r="DV61" s="87"/>
      <c r="DW61" s="88"/>
      <c r="DX61" s="88"/>
      <c r="DY61" s="88"/>
      <c r="DZ61" s="88"/>
      <c r="EA61" s="88"/>
      <c r="EB61" s="88"/>
      <c r="EC61" s="88"/>
      <c r="ED61" s="89"/>
      <c r="EE61" s="90"/>
      <c r="EF61" s="88"/>
      <c r="EG61" s="88"/>
      <c r="EH61" s="88"/>
      <c r="EI61" s="88"/>
      <c r="EJ61" s="88"/>
      <c r="EK61" s="88"/>
      <c r="EL61" s="88"/>
      <c r="EM61" s="88"/>
      <c r="EN61" s="88"/>
      <c r="EO61" s="88"/>
      <c r="EP61" s="88"/>
      <c r="EQ61" s="88"/>
      <c r="ER61" s="88"/>
      <c r="ES61" s="88"/>
      <c r="ET61" s="88"/>
      <c r="EU61" s="88"/>
      <c r="EV61" s="88"/>
      <c r="EW61" s="88"/>
      <c r="EX61" s="88"/>
      <c r="EY61" s="88"/>
      <c r="EZ61" s="88"/>
      <c r="FA61" s="88"/>
      <c r="FB61" s="88"/>
      <c r="FC61" s="88"/>
      <c r="FD61" s="88"/>
      <c r="FE61" s="88"/>
      <c r="FF61" s="88"/>
      <c r="FG61" s="88"/>
      <c r="FH61" s="88"/>
      <c r="FI61" s="89"/>
      <c r="FJ61" s="90"/>
      <c r="FK61" s="88"/>
      <c r="FL61" s="88"/>
      <c r="FM61" s="88"/>
      <c r="FN61" s="88"/>
      <c r="FO61" s="88"/>
      <c r="FP61" s="88"/>
      <c r="FQ61" s="88"/>
      <c r="FR61" s="88"/>
      <c r="FS61" s="88"/>
      <c r="FT61" s="88"/>
      <c r="FU61" s="88"/>
      <c r="FV61" s="88"/>
      <c r="FW61" s="88"/>
      <c r="FX61" s="88"/>
      <c r="FY61" s="88"/>
      <c r="FZ61" s="88"/>
      <c r="GA61" s="88"/>
      <c r="GB61" s="88"/>
      <c r="GC61" s="88"/>
      <c r="GD61" s="88"/>
      <c r="GE61" s="88"/>
      <c r="GF61" s="88"/>
      <c r="GG61" s="88"/>
      <c r="GH61" s="88"/>
      <c r="GI61" s="88"/>
      <c r="GJ61" s="88"/>
      <c r="GK61" s="88"/>
      <c r="GL61" s="88"/>
      <c r="GM61" s="88"/>
      <c r="GN61" s="89"/>
      <c r="GO61" s="90"/>
      <c r="GP61" s="88"/>
      <c r="GQ61" s="88"/>
      <c r="GR61" s="88"/>
      <c r="GS61" s="88"/>
      <c r="GT61" s="88"/>
      <c r="GU61" s="88"/>
      <c r="GV61" s="88"/>
      <c r="GW61" s="88"/>
      <c r="GX61" s="88"/>
      <c r="GY61" s="88"/>
      <c r="GZ61" s="88"/>
      <c r="HA61" s="88"/>
      <c r="HB61" s="88"/>
      <c r="HC61" s="88"/>
      <c r="HD61" s="88"/>
      <c r="HE61" s="88"/>
      <c r="HF61" s="88"/>
      <c r="HG61" s="88"/>
      <c r="HH61" s="88"/>
      <c r="HI61" s="88"/>
      <c r="HJ61" s="88"/>
      <c r="HK61" s="88"/>
      <c r="HL61" s="88"/>
      <c r="HM61" s="88"/>
      <c r="HN61" s="88"/>
      <c r="HO61" s="92"/>
      <c r="HP61" s="87"/>
      <c r="HQ61" s="88"/>
      <c r="HR61" s="89"/>
      <c r="HS61" s="90"/>
      <c r="HT61" s="88"/>
      <c r="HU61" s="88"/>
      <c r="HV61" s="88"/>
      <c r="HW61" s="88"/>
      <c r="HX61" s="88"/>
      <c r="HY61" s="88"/>
      <c r="HZ61" s="88"/>
      <c r="IA61" s="88"/>
      <c r="IB61" s="88"/>
      <c r="IC61" s="88"/>
      <c r="ID61" s="88"/>
      <c r="IE61" s="88"/>
      <c r="IF61" s="88"/>
      <c r="IG61" s="88"/>
      <c r="IH61" s="88"/>
      <c r="II61" s="88"/>
      <c r="IJ61" s="88"/>
      <c r="IK61" s="88"/>
      <c r="IL61" s="88"/>
      <c r="IM61" s="88"/>
      <c r="IN61" s="88"/>
      <c r="IO61" s="88"/>
      <c r="IP61" s="88"/>
      <c r="IQ61" s="88"/>
      <c r="IR61" s="88"/>
      <c r="IS61" s="88"/>
      <c r="IT61" s="88"/>
      <c r="IU61" s="88"/>
      <c r="IV61" s="88"/>
      <c r="IW61" s="89"/>
      <c r="IX61" s="92"/>
      <c r="IY61" s="87"/>
      <c r="IZ61" s="88"/>
      <c r="JA61" s="88"/>
      <c r="JB61" s="88"/>
      <c r="JC61" s="88"/>
      <c r="JD61" s="88"/>
      <c r="JE61" s="88"/>
      <c r="JF61" s="88"/>
      <c r="JG61" s="88"/>
      <c r="JH61" s="88"/>
      <c r="JI61" s="88"/>
      <c r="JJ61" s="88"/>
      <c r="JK61" s="88"/>
      <c r="JL61" s="88"/>
      <c r="JM61" s="88"/>
      <c r="JN61" s="88"/>
      <c r="JO61" s="88"/>
      <c r="JP61" s="88"/>
      <c r="JQ61" s="88"/>
      <c r="JR61" s="88"/>
      <c r="JS61" s="88"/>
      <c r="JT61" s="88"/>
      <c r="JU61" s="88"/>
      <c r="JV61" s="88"/>
      <c r="JW61" s="88"/>
      <c r="JX61" s="88"/>
      <c r="JY61" s="88"/>
      <c r="JZ61" s="88"/>
      <c r="KA61" s="89"/>
      <c r="KB61" s="90"/>
      <c r="KC61" s="88"/>
      <c r="KD61" s="88"/>
      <c r="KE61" s="88"/>
      <c r="KF61" s="88"/>
      <c r="KG61" s="88"/>
    </row>
    <row r="62" customFormat="false" ht="22.5" hidden="false" customHeight="true" outlineLevel="1" collapsed="false">
      <c r="B62" s="75" t="s">
        <v>188</v>
      </c>
      <c r="C62" s="138" t="s">
        <v>189</v>
      </c>
      <c r="D62" s="127" t="s">
        <v>177</v>
      </c>
      <c r="E62" s="139" t="n">
        <v>3</v>
      </c>
      <c r="F62" s="140" t="n">
        <v>3</v>
      </c>
      <c r="G62" s="141" t="n">
        <f aca="false">E62-F62</f>
        <v>0</v>
      </c>
      <c r="H62" s="142" t="n">
        <v>3</v>
      </c>
      <c r="I62" s="148" t="s">
        <v>186</v>
      </c>
      <c r="J62" s="149" t="n">
        <v>46194</v>
      </c>
      <c r="K62" s="149" t="n">
        <v>46195</v>
      </c>
      <c r="L62" s="143" t="n">
        <f aca="false">K62-J62</f>
        <v>1</v>
      </c>
      <c r="M62" s="136" t="n">
        <f aca="false">IFERROR(F62/E62,"")</f>
        <v>1</v>
      </c>
      <c r="N62" s="87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9"/>
      <c r="AK62" s="90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9"/>
      <c r="BO62" s="90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91"/>
      <c r="CT62" s="90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92"/>
      <c r="DV62" s="87"/>
      <c r="DW62" s="88"/>
      <c r="DX62" s="88"/>
      <c r="DY62" s="88"/>
      <c r="DZ62" s="88"/>
      <c r="EA62" s="88"/>
      <c r="EB62" s="88"/>
      <c r="EC62" s="88"/>
      <c r="ED62" s="89"/>
      <c r="EE62" s="90"/>
      <c r="EF62" s="88"/>
      <c r="EG62" s="88"/>
      <c r="EH62" s="88"/>
      <c r="EI62" s="88"/>
      <c r="EJ62" s="88"/>
      <c r="EK62" s="88"/>
      <c r="EL62" s="88"/>
      <c r="EM62" s="88"/>
      <c r="EN62" s="88"/>
      <c r="EO62" s="88"/>
      <c r="EP62" s="88"/>
      <c r="EQ62" s="88"/>
      <c r="ER62" s="88"/>
      <c r="ES62" s="88"/>
      <c r="ET62" s="88"/>
      <c r="EU62" s="88"/>
      <c r="EV62" s="88"/>
      <c r="EW62" s="88"/>
      <c r="EX62" s="88"/>
      <c r="EY62" s="88"/>
      <c r="EZ62" s="88"/>
      <c r="FA62" s="88"/>
      <c r="FB62" s="88"/>
      <c r="FC62" s="88"/>
      <c r="FD62" s="88"/>
      <c r="FE62" s="88"/>
      <c r="FF62" s="88"/>
      <c r="FG62" s="88"/>
      <c r="FH62" s="88"/>
      <c r="FI62" s="89"/>
      <c r="FJ62" s="90"/>
      <c r="FK62" s="88"/>
      <c r="FL62" s="88"/>
      <c r="FM62" s="88"/>
      <c r="FN62" s="88"/>
      <c r="FO62" s="88"/>
      <c r="FP62" s="88"/>
      <c r="FQ62" s="88"/>
      <c r="FR62" s="88"/>
      <c r="FS62" s="88"/>
      <c r="FT62" s="88"/>
      <c r="FU62" s="88"/>
      <c r="FV62" s="88"/>
      <c r="FW62" s="88"/>
      <c r="FX62" s="88"/>
      <c r="FY62" s="88"/>
      <c r="FZ62" s="88"/>
      <c r="GA62" s="88"/>
      <c r="GB62" s="88"/>
      <c r="GC62" s="88"/>
      <c r="GD62" s="88"/>
      <c r="GE62" s="88"/>
      <c r="GF62" s="88"/>
      <c r="GG62" s="88"/>
      <c r="GH62" s="88"/>
      <c r="GI62" s="88"/>
      <c r="GJ62" s="88"/>
      <c r="GK62" s="88"/>
      <c r="GL62" s="88"/>
      <c r="GM62" s="88"/>
      <c r="GN62" s="89"/>
      <c r="GO62" s="90"/>
      <c r="GP62" s="88"/>
      <c r="GQ62" s="88"/>
      <c r="GR62" s="88"/>
      <c r="GS62" s="88"/>
      <c r="GT62" s="88"/>
      <c r="GU62" s="88"/>
      <c r="GV62" s="88"/>
      <c r="GW62" s="88"/>
      <c r="GX62" s="88"/>
      <c r="GY62" s="88"/>
      <c r="GZ62" s="88"/>
      <c r="HA62" s="88"/>
      <c r="HB62" s="88"/>
      <c r="HC62" s="88"/>
      <c r="HD62" s="88"/>
      <c r="HE62" s="88"/>
      <c r="HF62" s="88"/>
      <c r="HG62" s="88"/>
      <c r="HH62" s="88"/>
      <c r="HI62" s="88"/>
      <c r="HJ62" s="88"/>
      <c r="HK62" s="88"/>
      <c r="HL62" s="88"/>
      <c r="HM62" s="88"/>
      <c r="HN62" s="88"/>
      <c r="HO62" s="92"/>
      <c r="HP62" s="87"/>
      <c r="HQ62" s="88"/>
      <c r="HR62" s="89"/>
      <c r="HS62" s="90"/>
      <c r="HT62" s="88"/>
      <c r="HU62" s="88"/>
      <c r="HV62" s="88"/>
      <c r="HW62" s="88"/>
      <c r="HX62" s="88"/>
      <c r="HY62" s="88"/>
      <c r="HZ62" s="88"/>
      <c r="IA62" s="88"/>
      <c r="IB62" s="88"/>
      <c r="IC62" s="88"/>
      <c r="ID62" s="88"/>
      <c r="IE62" s="88"/>
      <c r="IF62" s="88"/>
      <c r="IG62" s="88"/>
      <c r="IH62" s="88"/>
      <c r="II62" s="88"/>
      <c r="IJ62" s="88"/>
      <c r="IK62" s="88"/>
      <c r="IL62" s="88"/>
      <c r="IM62" s="88"/>
      <c r="IN62" s="88"/>
      <c r="IO62" s="88"/>
      <c r="IP62" s="88"/>
      <c r="IQ62" s="88"/>
      <c r="IR62" s="88"/>
      <c r="IS62" s="88"/>
      <c r="IT62" s="88"/>
      <c r="IU62" s="88"/>
      <c r="IV62" s="88"/>
      <c r="IW62" s="89"/>
      <c r="IX62" s="92"/>
      <c r="IY62" s="87"/>
      <c r="IZ62" s="88"/>
      <c r="JA62" s="88"/>
      <c r="JB62" s="88"/>
      <c r="JC62" s="88"/>
      <c r="JD62" s="88"/>
      <c r="JE62" s="88"/>
      <c r="JF62" s="88"/>
      <c r="JG62" s="88"/>
      <c r="JH62" s="88"/>
      <c r="JI62" s="88"/>
      <c r="JJ62" s="88"/>
      <c r="JK62" s="88"/>
      <c r="JL62" s="88"/>
      <c r="JM62" s="88"/>
      <c r="JN62" s="88"/>
      <c r="JO62" s="88"/>
      <c r="JP62" s="88"/>
      <c r="JQ62" s="88"/>
      <c r="JR62" s="88"/>
      <c r="JS62" s="88"/>
      <c r="JT62" s="88"/>
      <c r="JU62" s="88"/>
      <c r="JV62" s="88"/>
      <c r="JW62" s="88"/>
      <c r="JX62" s="88"/>
      <c r="JY62" s="88"/>
      <c r="JZ62" s="88"/>
      <c r="KA62" s="89"/>
      <c r="KB62" s="90"/>
      <c r="KC62" s="88"/>
      <c r="KD62" s="88"/>
      <c r="KE62" s="88"/>
      <c r="KF62" s="88"/>
      <c r="KG62" s="88"/>
    </row>
    <row r="63" customFormat="false" ht="22.5" hidden="false" customHeight="true" outlineLevel="1" collapsed="false">
      <c r="B63" s="75" t="s">
        <v>190</v>
      </c>
      <c r="C63" s="138" t="s">
        <v>191</v>
      </c>
      <c r="D63" s="127" t="s">
        <v>174</v>
      </c>
      <c r="E63" s="139" t="n">
        <v>2</v>
      </c>
      <c r="F63" s="140" t="n">
        <v>2</v>
      </c>
      <c r="G63" s="141" t="n">
        <f aca="false">E63-F63</f>
        <v>0</v>
      </c>
      <c r="H63" s="142" t="n">
        <v>3</v>
      </c>
      <c r="I63" s="148" t="s">
        <v>188</v>
      </c>
      <c r="J63" s="149" t="n">
        <v>46196</v>
      </c>
      <c r="K63" s="149" t="n">
        <v>46196</v>
      </c>
      <c r="L63" s="143" t="n">
        <f aca="false">K63-J63</f>
        <v>0</v>
      </c>
      <c r="M63" s="136" t="n">
        <f aca="false">IFERROR(F63/E63,"")</f>
        <v>1</v>
      </c>
      <c r="N63" s="87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9"/>
      <c r="AK63" s="90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88"/>
      <c r="BM63" s="88"/>
      <c r="BN63" s="89"/>
      <c r="BO63" s="90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  <c r="CA63" s="88"/>
      <c r="CB63" s="88"/>
      <c r="CC63" s="88"/>
      <c r="CD63" s="88"/>
      <c r="CE63" s="88"/>
      <c r="CF63" s="88"/>
      <c r="CG63" s="88"/>
      <c r="CH63" s="88"/>
      <c r="CI63" s="88"/>
      <c r="CJ63" s="88"/>
      <c r="CK63" s="88"/>
      <c r="CL63" s="88"/>
      <c r="CM63" s="88"/>
      <c r="CN63" s="88"/>
      <c r="CO63" s="88"/>
      <c r="CP63" s="88"/>
      <c r="CQ63" s="88"/>
      <c r="CR63" s="88"/>
      <c r="CS63" s="91"/>
      <c r="CT63" s="90"/>
      <c r="CU63" s="88"/>
      <c r="CV63" s="88"/>
      <c r="CW63" s="88"/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  <c r="DL63" s="88"/>
      <c r="DM63" s="88"/>
      <c r="DN63" s="88"/>
      <c r="DO63" s="88"/>
      <c r="DP63" s="88"/>
      <c r="DQ63" s="88"/>
      <c r="DR63" s="88"/>
      <c r="DS63" s="88"/>
      <c r="DT63" s="88"/>
      <c r="DU63" s="92"/>
      <c r="DV63" s="87"/>
      <c r="DW63" s="88"/>
      <c r="DX63" s="88"/>
      <c r="DY63" s="88"/>
      <c r="DZ63" s="88"/>
      <c r="EA63" s="88"/>
      <c r="EB63" s="88"/>
      <c r="EC63" s="88"/>
      <c r="ED63" s="89"/>
      <c r="EE63" s="90"/>
      <c r="EF63" s="88"/>
      <c r="EG63" s="88"/>
      <c r="EH63" s="88"/>
      <c r="EI63" s="88"/>
      <c r="EJ63" s="88"/>
      <c r="EK63" s="88"/>
      <c r="EL63" s="88"/>
      <c r="EM63" s="88"/>
      <c r="EN63" s="88"/>
      <c r="EO63" s="88"/>
      <c r="EP63" s="88"/>
      <c r="EQ63" s="88"/>
      <c r="ER63" s="88"/>
      <c r="ES63" s="88"/>
      <c r="ET63" s="88"/>
      <c r="EU63" s="88"/>
      <c r="EV63" s="88"/>
      <c r="EW63" s="88"/>
      <c r="EX63" s="88"/>
      <c r="EY63" s="88"/>
      <c r="EZ63" s="88"/>
      <c r="FA63" s="88"/>
      <c r="FB63" s="88"/>
      <c r="FC63" s="88"/>
      <c r="FD63" s="88"/>
      <c r="FE63" s="88"/>
      <c r="FF63" s="88"/>
      <c r="FG63" s="88"/>
      <c r="FH63" s="88"/>
      <c r="FI63" s="89"/>
      <c r="FJ63" s="90"/>
      <c r="FK63" s="88"/>
      <c r="FL63" s="88"/>
      <c r="FM63" s="88"/>
      <c r="FN63" s="88"/>
      <c r="FO63" s="88"/>
      <c r="FP63" s="88"/>
      <c r="FQ63" s="88"/>
      <c r="FR63" s="88"/>
      <c r="FS63" s="88"/>
      <c r="FT63" s="88"/>
      <c r="FU63" s="88"/>
      <c r="FV63" s="88"/>
      <c r="FW63" s="88"/>
      <c r="FX63" s="88"/>
      <c r="FY63" s="88"/>
      <c r="FZ63" s="88"/>
      <c r="GA63" s="88"/>
      <c r="GB63" s="88"/>
      <c r="GC63" s="88"/>
      <c r="GD63" s="88"/>
      <c r="GE63" s="88"/>
      <c r="GF63" s="88"/>
      <c r="GG63" s="88"/>
      <c r="GH63" s="88"/>
      <c r="GI63" s="88"/>
      <c r="GJ63" s="88"/>
      <c r="GK63" s="88"/>
      <c r="GL63" s="88"/>
      <c r="GM63" s="88"/>
      <c r="GN63" s="89"/>
      <c r="GO63" s="90"/>
      <c r="GP63" s="88"/>
      <c r="GQ63" s="88"/>
      <c r="GR63" s="88"/>
      <c r="GS63" s="88"/>
      <c r="GT63" s="88"/>
      <c r="GU63" s="88"/>
      <c r="GV63" s="88"/>
      <c r="GW63" s="88"/>
      <c r="GX63" s="88"/>
      <c r="GY63" s="88"/>
      <c r="GZ63" s="88"/>
      <c r="HA63" s="88"/>
      <c r="HB63" s="88"/>
      <c r="HC63" s="88"/>
      <c r="HD63" s="88"/>
      <c r="HE63" s="88"/>
      <c r="HF63" s="88"/>
      <c r="HG63" s="88"/>
      <c r="HH63" s="88"/>
      <c r="HI63" s="88"/>
      <c r="HJ63" s="88"/>
      <c r="HK63" s="88"/>
      <c r="HL63" s="88"/>
      <c r="HM63" s="88"/>
      <c r="HN63" s="88"/>
      <c r="HO63" s="92"/>
      <c r="HP63" s="87"/>
      <c r="HQ63" s="88"/>
      <c r="HR63" s="89"/>
      <c r="HS63" s="90"/>
      <c r="HT63" s="88"/>
      <c r="HU63" s="88"/>
      <c r="HV63" s="88"/>
      <c r="HW63" s="88"/>
      <c r="HX63" s="88"/>
      <c r="HY63" s="88"/>
      <c r="HZ63" s="88"/>
      <c r="IA63" s="88"/>
      <c r="IB63" s="88"/>
      <c r="IC63" s="88"/>
      <c r="ID63" s="88"/>
      <c r="IE63" s="88"/>
      <c r="IF63" s="88"/>
      <c r="IG63" s="88"/>
      <c r="IH63" s="88"/>
      <c r="II63" s="88"/>
      <c r="IJ63" s="88"/>
      <c r="IK63" s="88"/>
      <c r="IL63" s="88"/>
      <c r="IM63" s="88"/>
      <c r="IN63" s="88"/>
      <c r="IO63" s="88"/>
      <c r="IP63" s="88"/>
      <c r="IQ63" s="88"/>
      <c r="IR63" s="88"/>
      <c r="IS63" s="88"/>
      <c r="IT63" s="88"/>
      <c r="IU63" s="88"/>
      <c r="IV63" s="88"/>
      <c r="IW63" s="89"/>
      <c r="IX63" s="92"/>
      <c r="IY63" s="87"/>
      <c r="IZ63" s="88"/>
      <c r="JA63" s="88"/>
      <c r="JB63" s="88"/>
      <c r="JC63" s="88"/>
      <c r="JD63" s="88"/>
      <c r="JE63" s="88"/>
      <c r="JF63" s="88"/>
      <c r="JG63" s="88"/>
      <c r="JH63" s="88"/>
      <c r="JI63" s="88"/>
      <c r="JJ63" s="88"/>
      <c r="JK63" s="88"/>
      <c r="JL63" s="88"/>
      <c r="JM63" s="88"/>
      <c r="JN63" s="88"/>
      <c r="JO63" s="88"/>
      <c r="JP63" s="88"/>
      <c r="JQ63" s="88"/>
      <c r="JR63" s="88"/>
      <c r="JS63" s="88"/>
      <c r="JT63" s="88"/>
      <c r="JU63" s="88"/>
      <c r="JV63" s="88"/>
      <c r="JW63" s="88"/>
      <c r="JX63" s="88"/>
      <c r="JY63" s="88"/>
      <c r="JZ63" s="88"/>
      <c r="KA63" s="89"/>
      <c r="KB63" s="90"/>
      <c r="KC63" s="88"/>
      <c r="KD63" s="88"/>
      <c r="KE63" s="88"/>
      <c r="KF63" s="88"/>
      <c r="KG63" s="88"/>
    </row>
    <row r="64" customFormat="false" ht="22.5" hidden="false" customHeight="true" outlineLevel="1" collapsed="false">
      <c r="B64" s="75" t="s">
        <v>192</v>
      </c>
      <c r="C64" s="138" t="s">
        <v>193</v>
      </c>
      <c r="D64" s="127" t="s">
        <v>181</v>
      </c>
      <c r="E64" s="139" t="n">
        <v>2</v>
      </c>
      <c r="F64" s="140" t="n">
        <v>2</v>
      </c>
      <c r="G64" s="141" t="n">
        <f aca="false">E64-F64</f>
        <v>0</v>
      </c>
      <c r="H64" s="142" t="n">
        <v>4</v>
      </c>
      <c r="I64" s="148" t="s">
        <v>182</v>
      </c>
      <c r="J64" s="149" t="n">
        <v>46197</v>
      </c>
      <c r="K64" s="149" t="n">
        <v>46197</v>
      </c>
      <c r="L64" s="143" t="n">
        <f aca="false">K64-J64</f>
        <v>0</v>
      </c>
      <c r="M64" s="136" t="n">
        <f aca="false">IFERROR(F64/E64,"")</f>
        <v>1</v>
      </c>
      <c r="N64" s="87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9"/>
      <c r="AK64" s="90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9"/>
      <c r="BO64" s="90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91"/>
      <c r="CT64" s="90"/>
      <c r="CU64" s="88"/>
      <c r="CV64" s="88"/>
      <c r="CW64" s="88"/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  <c r="DL64" s="88"/>
      <c r="DM64" s="88"/>
      <c r="DN64" s="88"/>
      <c r="DO64" s="88"/>
      <c r="DP64" s="88"/>
      <c r="DQ64" s="88"/>
      <c r="DR64" s="88"/>
      <c r="DS64" s="88"/>
      <c r="DT64" s="88"/>
      <c r="DU64" s="92"/>
      <c r="DV64" s="87"/>
      <c r="DW64" s="88"/>
      <c r="DX64" s="88"/>
      <c r="DY64" s="88"/>
      <c r="DZ64" s="88"/>
      <c r="EA64" s="88"/>
      <c r="EB64" s="88"/>
      <c r="EC64" s="88"/>
      <c r="ED64" s="89"/>
      <c r="EE64" s="90"/>
      <c r="EF64" s="88"/>
      <c r="EG64" s="88"/>
      <c r="EH64" s="88"/>
      <c r="EI64" s="88"/>
      <c r="EJ64" s="88"/>
      <c r="EK64" s="88"/>
      <c r="EL64" s="88"/>
      <c r="EM64" s="88"/>
      <c r="EN64" s="88"/>
      <c r="EO64" s="88"/>
      <c r="EP64" s="88"/>
      <c r="EQ64" s="88"/>
      <c r="ER64" s="88"/>
      <c r="ES64" s="88"/>
      <c r="ET64" s="88"/>
      <c r="EU64" s="88"/>
      <c r="EV64" s="88"/>
      <c r="EW64" s="88"/>
      <c r="EX64" s="88"/>
      <c r="EY64" s="88"/>
      <c r="EZ64" s="88"/>
      <c r="FA64" s="88"/>
      <c r="FB64" s="88"/>
      <c r="FC64" s="88"/>
      <c r="FD64" s="88"/>
      <c r="FE64" s="88"/>
      <c r="FF64" s="88"/>
      <c r="FG64" s="88"/>
      <c r="FH64" s="88"/>
      <c r="FI64" s="89"/>
      <c r="FJ64" s="90"/>
      <c r="FK64" s="88"/>
      <c r="FL64" s="88"/>
      <c r="FM64" s="88"/>
      <c r="FN64" s="88"/>
      <c r="FO64" s="88"/>
      <c r="FP64" s="88"/>
      <c r="FQ64" s="88"/>
      <c r="FR64" s="88"/>
      <c r="FS64" s="88"/>
      <c r="FT64" s="88"/>
      <c r="FU64" s="88"/>
      <c r="FV64" s="88"/>
      <c r="FW64" s="88"/>
      <c r="FX64" s="88"/>
      <c r="FY64" s="88"/>
      <c r="FZ64" s="88"/>
      <c r="GA64" s="88"/>
      <c r="GB64" s="88"/>
      <c r="GC64" s="88"/>
      <c r="GD64" s="88"/>
      <c r="GE64" s="88"/>
      <c r="GF64" s="88"/>
      <c r="GG64" s="88"/>
      <c r="GH64" s="88"/>
      <c r="GI64" s="88"/>
      <c r="GJ64" s="88"/>
      <c r="GK64" s="88"/>
      <c r="GL64" s="88"/>
      <c r="GM64" s="88"/>
      <c r="GN64" s="89"/>
      <c r="GO64" s="90"/>
      <c r="GP64" s="88"/>
      <c r="GQ64" s="88"/>
      <c r="GR64" s="88"/>
      <c r="GS64" s="88"/>
      <c r="GT64" s="88"/>
      <c r="GU64" s="88"/>
      <c r="GV64" s="88"/>
      <c r="GW64" s="88"/>
      <c r="GX64" s="88"/>
      <c r="GY64" s="88"/>
      <c r="GZ64" s="88"/>
      <c r="HA64" s="88"/>
      <c r="HB64" s="88"/>
      <c r="HC64" s="88"/>
      <c r="HD64" s="88"/>
      <c r="HE64" s="88"/>
      <c r="HF64" s="88"/>
      <c r="HG64" s="88"/>
      <c r="HH64" s="88"/>
      <c r="HI64" s="88"/>
      <c r="HJ64" s="88"/>
      <c r="HK64" s="88"/>
      <c r="HL64" s="88"/>
      <c r="HM64" s="88"/>
      <c r="HN64" s="88"/>
      <c r="HO64" s="92"/>
      <c r="HP64" s="87"/>
      <c r="HQ64" s="88"/>
      <c r="HR64" s="89"/>
      <c r="HS64" s="90"/>
      <c r="HT64" s="88"/>
      <c r="HU64" s="88"/>
      <c r="HV64" s="88"/>
      <c r="HW64" s="88"/>
      <c r="HX64" s="88"/>
      <c r="HY64" s="88"/>
      <c r="HZ64" s="88"/>
      <c r="IA64" s="88"/>
      <c r="IB64" s="88"/>
      <c r="IC64" s="88"/>
      <c r="ID64" s="88"/>
      <c r="IE64" s="88"/>
      <c r="IF64" s="88"/>
      <c r="IG64" s="88"/>
      <c r="IH64" s="88"/>
      <c r="II64" s="88"/>
      <c r="IJ64" s="88"/>
      <c r="IK64" s="88"/>
      <c r="IL64" s="88"/>
      <c r="IM64" s="88"/>
      <c r="IN64" s="88"/>
      <c r="IO64" s="88"/>
      <c r="IP64" s="88"/>
      <c r="IQ64" s="88"/>
      <c r="IR64" s="88"/>
      <c r="IS64" s="88"/>
      <c r="IT64" s="88"/>
      <c r="IU64" s="88"/>
      <c r="IV64" s="88"/>
      <c r="IW64" s="89"/>
      <c r="IX64" s="92"/>
      <c r="IY64" s="87"/>
      <c r="IZ64" s="88"/>
      <c r="JA64" s="88"/>
      <c r="JB64" s="88"/>
      <c r="JC64" s="88"/>
      <c r="JD64" s="88"/>
      <c r="JE64" s="88"/>
      <c r="JF64" s="88"/>
      <c r="JG64" s="88"/>
      <c r="JH64" s="88"/>
      <c r="JI64" s="88"/>
      <c r="JJ64" s="88"/>
      <c r="JK64" s="88"/>
      <c r="JL64" s="88"/>
      <c r="JM64" s="88"/>
      <c r="JN64" s="88"/>
      <c r="JO64" s="88"/>
      <c r="JP64" s="88"/>
      <c r="JQ64" s="88"/>
      <c r="JR64" s="88"/>
      <c r="JS64" s="88"/>
      <c r="JT64" s="88"/>
      <c r="JU64" s="88"/>
      <c r="JV64" s="88"/>
      <c r="JW64" s="88"/>
      <c r="JX64" s="88"/>
      <c r="JY64" s="88"/>
      <c r="JZ64" s="88"/>
      <c r="KA64" s="89"/>
      <c r="KB64" s="90"/>
      <c r="KC64" s="88"/>
      <c r="KD64" s="88"/>
      <c r="KE64" s="88"/>
      <c r="KF64" s="88"/>
      <c r="KG64" s="88"/>
    </row>
    <row r="65" customFormat="false" ht="22.5" hidden="false" customHeight="true" outlineLevel="1" collapsed="false">
      <c r="A65" s="127" t="s">
        <v>194</v>
      </c>
      <c r="B65" s="75" t="s">
        <v>195</v>
      </c>
      <c r="C65" s="138" t="s">
        <v>196</v>
      </c>
      <c r="D65" s="127" t="s">
        <v>197</v>
      </c>
      <c r="E65" s="139" t="n">
        <v>5</v>
      </c>
      <c r="F65" s="140" t="n">
        <v>5</v>
      </c>
      <c r="G65" s="141" t="n">
        <f aca="false">E65-F65</f>
        <v>0</v>
      </c>
      <c r="H65" s="142" t="n">
        <v>4</v>
      </c>
      <c r="I65" s="148" t="s">
        <v>192</v>
      </c>
      <c r="J65" s="149" t="n">
        <v>46198</v>
      </c>
      <c r="K65" s="149" t="n">
        <v>46199</v>
      </c>
      <c r="L65" s="143" t="n">
        <f aca="false">K65-J65</f>
        <v>1</v>
      </c>
      <c r="M65" s="136" t="n">
        <f aca="false">IFERROR(F65/E65,"")</f>
        <v>1</v>
      </c>
      <c r="N65" s="87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9"/>
      <c r="AK65" s="90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J65" s="88"/>
      <c r="BK65" s="88"/>
      <c r="BL65" s="88"/>
      <c r="BM65" s="88"/>
      <c r="BN65" s="89"/>
      <c r="BO65" s="90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  <c r="CA65" s="88"/>
      <c r="CB65" s="88"/>
      <c r="CC65" s="88"/>
      <c r="CD65" s="88"/>
      <c r="CE65" s="88"/>
      <c r="CF65" s="88"/>
      <c r="CG65" s="88"/>
      <c r="CH65" s="88"/>
      <c r="CI65" s="88"/>
      <c r="CJ65" s="88"/>
      <c r="CK65" s="88"/>
      <c r="CL65" s="88"/>
      <c r="CM65" s="88"/>
      <c r="CN65" s="88"/>
      <c r="CO65" s="88"/>
      <c r="CP65" s="88"/>
      <c r="CQ65" s="88"/>
      <c r="CR65" s="88"/>
      <c r="CS65" s="91"/>
      <c r="CT65" s="90"/>
      <c r="CU65" s="88"/>
      <c r="CV65" s="88"/>
      <c r="CW65" s="88"/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  <c r="DL65" s="88"/>
      <c r="DM65" s="88"/>
      <c r="DN65" s="88"/>
      <c r="DO65" s="88"/>
      <c r="DP65" s="88"/>
      <c r="DQ65" s="88"/>
      <c r="DR65" s="88"/>
      <c r="DS65" s="88"/>
      <c r="DT65" s="88"/>
      <c r="DU65" s="92"/>
      <c r="DV65" s="87"/>
      <c r="DW65" s="88"/>
      <c r="DX65" s="88"/>
      <c r="DY65" s="88"/>
      <c r="DZ65" s="88"/>
      <c r="EA65" s="88"/>
      <c r="EB65" s="88"/>
      <c r="EC65" s="88"/>
      <c r="ED65" s="89"/>
      <c r="EE65" s="90"/>
      <c r="EF65" s="88"/>
      <c r="EG65" s="88"/>
      <c r="EH65" s="88"/>
      <c r="EI65" s="88"/>
      <c r="EJ65" s="88"/>
      <c r="EK65" s="88"/>
      <c r="EL65" s="88"/>
      <c r="EM65" s="88"/>
      <c r="EN65" s="88"/>
      <c r="EO65" s="88"/>
      <c r="EP65" s="88"/>
      <c r="EQ65" s="88"/>
      <c r="ER65" s="88"/>
      <c r="ES65" s="88"/>
      <c r="ET65" s="88"/>
      <c r="EU65" s="88"/>
      <c r="EV65" s="88"/>
      <c r="EW65" s="88"/>
      <c r="EX65" s="88"/>
      <c r="EY65" s="88"/>
      <c r="EZ65" s="88"/>
      <c r="FA65" s="88"/>
      <c r="FB65" s="88"/>
      <c r="FC65" s="88"/>
      <c r="FD65" s="88"/>
      <c r="FE65" s="88"/>
      <c r="FF65" s="88"/>
      <c r="FG65" s="88"/>
      <c r="FH65" s="88"/>
      <c r="FI65" s="89"/>
      <c r="FJ65" s="90"/>
      <c r="FK65" s="88"/>
      <c r="FL65" s="88"/>
      <c r="FM65" s="88"/>
      <c r="FN65" s="88"/>
      <c r="FO65" s="88"/>
      <c r="FP65" s="88"/>
      <c r="FQ65" s="88"/>
      <c r="FR65" s="88"/>
      <c r="FS65" s="88"/>
      <c r="FT65" s="88"/>
      <c r="FU65" s="88"/>
      <c r="FV65" s="88"/>
      <c r="FW65" s="88"/>
      <c r="FX65" s="88"/>
      <c r="FY65" s="88"/>
      <c r="FZ65" s="88"/>
      <c r="GA65" s="88"/>
      <c r="GB65" s="88"/>
      <c r="GC65" s="88"/>
      <c r="GD65" s="88"/>
      <c r="GE65" s="88"/>
      <c r="GF65" s="88"/>
      <c r="GG65" s="88"/>
      <c r="GH65" s="88"/>
      <c r="GI65" s="88"/>
      <c r="GJ65" s="88"/>
      <c r="GK65" s="88"/>
      <c r="GL65" s="88"/>
      <c r="GM65" s="88"/>
      <c r="GN65" s="89"/>
      <c r="GO65" s="90"/>
      <c r="GP65" s="88"/>
      <c r="GQ65" s="88"/>
      <c r="GR65" s="88"/>
      <c r="GS65" s="88"/>
      <c r="GT65" s="88"/>
      <c r="GU65" s="88"/>
      <c r="GV65" s="88"/>
      <c r="GW65" s="88"/>
      <c r="GX65" s="88"/>
      <c r="GY65" s="88"/>
      <c r="GZ65" s="88"/>
      <c r="HA65" s="88"/>
      <c r="HB65" s="88"/>
      <c r="HC65" s="88"/>
      <c r="HD65" s="88"/>
      <c r="HE65" s="88"/>
      <c r="HF65" s="88"/>
      <c r="HG65" s="88"/>
      <c r="HH65" s="88"/>
      <c r="HI65" s="88"/>
      <c r="HJ65" s="88"/>
      <c r="HK65" s="88"/>
      <c r="HL65" s="88"/>
      <c r="HM65" s="88"/>
      <c r="HN65" s="88"/>
      <c r="HO65" s="92"/>
      <c r="HP65" s="87"/>
      <c r="HQ65" s="88"/>
      <c r="HR65" s="89"/>
      <c r="HS65" s="90"/>
      <c r="HT65" s="88"/>
      <c r="HU65" s="88"/>
      <c r="HV65" s="88"/>
      <c r="HW65" s="88"/>
      <c r="HX65" s="88"/>
      <c r="HY65" s="88"/>
      <c r="HZ65" s="88"/>
      <c r="IA65" s="88"/>
      <c r="IB65" s="88"/>
      <c r="IC65" s="88"/>
      <c r="ID65" s="88"/>
      <c r="IE65" s="88"/>
      <c r="IF65" s="88"/>
      <c r="IG65" s="88"/>
      <c r="IH65" s="88"/>
      <c r="II65" s="88"/>
      <c r="IJ65" s="88"/>
      <c r="IK65" s="88"/>
      <c r="IL65" s="88"/>
      <c r="IM65" s="88"/>
      <c r="IN65" s="88"/>
      <c r="IO65" s="88"/>
      <c r="IP65" s="88"/>
      <c r="IQ65" s="88"/>
      <c r="IR65" s="88"/>
      <c r="IS65" s="88"/>
      <c r="IT65" s="88"/>
      <c r="IU65" s="88"/>
      <c r="IV65" s="88"/>
      <c r="IW65" s="89"/>
      <c r="IX65" s="92"/>
      <c r="IY65" s="87"/>
      <c r="IZ65" s="88"/>
      <c r="JA65" s="88"/>
      <c r="JB65" s="88"/>
      <c r="JC65" s="88"/>
      <c r="JD65" s="88"/>
      <c r="JE65" s="88"/>
      <c r="JF65" s="88"/>
      <c r="JG65" s="88"/>
      <c r="JH65" s="88"/>
      <c r="JI65" s="88"/>
      <c r="JJ65" s="88"/>
      <c r="JK65" s="88"/>
      <c r="JL65" s="88"/>
      <c r="JM65" s="88"/>
      <c r="JN65" s="88"/>
      <c r="JO65" s="88"/>
      <c r="JP65" s="88"/>
      <c r="JQ65" s="88"/>
      <c r="JR65" s="88"/>
      <c r="JS65" s="88"/>
      <c r="JT65" s="88"/>
      <c r="JU65" s="88"/>
      <c r="JV65" s="88"/>
      <c r="JW65" s="88"/>
      <c r="JX65" s="88"/>
      <c r="JY65" s="88"/>
      <c r="JZ65" s="88"/>
      <c r="KA65" s="89"/>
      <c r="KB65" s="90"/>
      <c r="KC65" s="88"/>
      <c r="KD65" s="88"/>
      <c r="KE65" s="88"/>
      <c r="KF65" s="88"/>
      <c r="KG65" s="88"/>
    </row>
    <row r="66" customFormat="false" ht="22.5" hidden="false" customHeight="true" outlineLevel="1" collapsed="false">
      <c r="B66" s="75" t="s">
        <v>198</v>
      </c>
      <c r="C66" s="138" t="s">
        <v>199</v>
      </c>
      <c r="D66" s="127" t="s">
        <v>200</v>
      </c>
      <c r="E66" s="139" t="n">
        <v>4</v>
      </c>
      <c r="F66" s="140" t="n">
        <v>4</v>
      </c>
      <c r="G66" s="141" t="n">
        <f aca="false">E66-F66</f>
        <v>0</v>
      </c>
      <c r="H66" s="142" t="n">
        <v>4</v>
      </c>
      <c r="I66" s="132" t="s">
        <v>195</v>
      </c>
      <c r="J66" s="133" t="n">
        <v>46199</v>
      </c>
      <c r="K66" s="133" t="n">
        <v>46199</v>
      </c>
      <c r="L66" s="143" t="n">
        <f aca="false">K66-J66</f>
        <v>0</v>
      </c>
      <c r="M66" s="136" t="n">
        <f aca="false">IFERROR(F66/E66,"")</f>
        <v>1</v>
      </c>
      <c r="N66" s="87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9"/>
      <c r="AK66" s="90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9"/>
      <c r="BO66" s="90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  <c r="CA66" s="88"/>
      <c r="CB66" s="88"/>
      <c r="CC66" s="88"/>
      <c r="CD66" s="88"/>
      <c r="CE66" s="88"/>
      <c r="CF66" s="88"/>
      <c r="CG66" s="88"/>
      <c r="CH66" s="88"/>
      <c r="CI66" s="88"/>
      <c r="CJ66" s="88"/>
      <c r="CK66" s="88"/>
      <c r="CL66" s="88"/>
      <c r="CM66" s="88"/>
      <c r="CN66" s="88"/>
      <c r="CO66" s="88"/>
      <c r="CP66" s="88"/>
      <c r="CQ66" s="88"/>
      <c r="CR66" s="88"/>
      <c r="CS66" s="91"/>
      <c r="CT66" s="90"/>
      <c r="CU66" s="88"/>
      <c r="CV66" s="88"/>
      <c r="CW66" s="88"/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  <c r="DL66" s="88"/>
      <c r="DM66" s="88"/>
      <c r="DN66" s="88"/>
      <c r="DO66" s="88"/>
      <c r="DP66" s="88"/>
      <c r="DQ66" s="88"/>
      <c r="DR66" s="88"/>
      <c r="DS66" s="88"/>
      <c r="DT66" s="88"/>
      <c r="DU66" s="92"/>
      <c r="DV66" s="87"/>
      <c r="DW66" s="88"/>
      <c r="DX66" s="88"/>
      <c r="DY66" s="88"/>
      <c r="DZ66" s="88"/>
      <c r="EA66" s="88"/>
      <c r="EB66" s="88"/>
      <c r="EC66" s="88"/>
      <c r="ED66" s="89"/>
      <c r="EE66" s="90"/>
      <c r="EF66" s="88"/>
      <c r="EG66" s="88"/>
      <c r="EH66" s="88"/>
      <c r="EI66" s="88"/>
      <c r="EJ66" s="88"/>
      <c r="EK66" s="88"/>
      <c r="EL66" s="88"/>
      <c r="EM66" s="88"/>
      <c r="EN66" s="88"/>
      <c r="EO66" s="88"/>
      <c r="EP66" s="88"/>
      <c r="EQ66" s="88"/>
      <c r="ER66" s="88"/>
      <c r="ES66" s="88"/>
      <c r="ET66" s="88"/>
      <c r="EU66" s="88"/>
      <c r="EV66" s="88"/>
      <c r="EW66" s="88"/>
      <c r="EX66" s="88"/>
      <c r="EY66" s="88"/>
      <c r="EZ66" s="88"/>
      <c r="FA66" s="88"/>
      <c r="FB66" s="88"/>
      <c r="FC66" s="88"/>
      <c r="FD66" s="88"/>
      <c r="FE66" s="88"/>
      <c r="FF66" s="88"/>
      <c r="FG66" s="88"/>
      <c r="FH66" s="88"/>
      <c r="FI66" s="89"/>
      <c r="FJ66" s="90"/>
      <c r="FK66" s="88"/>
      <c r="FL66" s="88"/>
      <c r="FM66" s="88"/>
      <c r="FN66" s="88"/>
      <c r="FO66" s="88"/>
      <c r="FP66" s="88"/>
      <c r="FQ66" s="88"/>
      <c r="FR66" s="88"/>
      <c r="FS66" s="88"/>
      <c r="FT66" s="88"/>
      <c r="FU66" s="88"/>
      <c r="FV66" s="88"/>
      <c r="FW66" s="88"/>
      <c r="FX66" s="88"/>
      <c r="FY66" s="88"/>
      <c r="FZ66" s="88"/>
      <c r="GA66" s="88"/>
      <c r="GB66" s="88"/>
      <c r="GC66" s="88"/>
      <c r="GD66" s="88"/>
      <c r="GE66" s="88"/>
      <c r="GF66" s="88"/>
      <c r="GG66" s="88"/>
      <c r="GH66" s="88"/>
      <c r="GI66" s="88"/>
      <c r="GJ66" s="88"/>
      <c r="GK66" s="88"/>
      <c r="GL66" s="88"/>
      <c r="GM66" s="88"/>
      <c r="GN66" s="89"/>
      <c r="GO66" s="90"/>
      <c r="GP66" s="88"/>
      <c r="GQ66" s="88"/>
      <c r="GR66" s="88"/>
      <c r="GS66" s="88"/>
      <c r="GT66" s="88"/>
      <c r="GU66" s="88"/>
      <c r="GV66" s="88"/>
      <c r="GW66" s="88"/>
      <c r="GX66" s="88"/>
      <c r="GY66" s="88"/>
      <c r="GZ66" s="88"/>
      <c r="HA66" s="88"/>
      <c r="HB66" s="88"/>
      <c r="HC66" s="88"/>
      <c r="HD66" s="88"/>
      <c r="HE66" s="88"/>
      <c r="HF66" s="88"/>
      <c r="HG66" s="88"/>
      <c r="HH66" s="88"/>
      <c r="HI66" s="88"/>
      <c r="HJ66" s="88"/>
      <c r="HK66" s="88"/>
      <c r="HL66" s="88"/>
      <c r="HM66" s="88"/>
      <c r="HN66" s="88"/>
      <c r="HO66" s="92"/>
      <c r="HP66" s="87"/>
      <c r="HQ66" s="88"/>
      <c r="HR66" s="89"/>
      <c r="HS66" s="90"/>
      <c r="HT66" s="88"/>
      <c r="HU66" s="88"/>
      <c r="HV66" s="88"/>
      <c r="HW66" s="88"/>
      <c r="HX66" s="88"/>
      <c r="HY66" s="88"/>
      <c r="HZ66" s="88"/>
      <c r="IA66" s="88"/>
      <c r="IB66" s="88"/>
      <c r="IC66" s="88"/>
      <c r="ID66" s="88"/>
      <c r="IE66" s="88"/>
      <c r="IF66" s="88"/>
      <c r="IG66" s="88"/>
      <c r="IH66" s="88"/>
      <c r="II66" s="88"/>
      <c r="IJ66" s="88"/>
      <c r="IK66" s="88"/>
      <c r="IL66" s="88"/>
      <c r="IM66" s="88"/>
      <c r="IN66" s="88"/>
      <c r="IO66" s="88"/>
      <c r="IP66" s="88"/>
      <c r="IQ66" s="88"/>
      <c r="IR66" s="88"/>
      <c r="IS66" s="88"/>
      <c r="IT66" s="88"/>
      <c r="IU66" s="88"/>
      <c r="IV66" s="88"/>
      <c r="IW66" s="89"/>
      <c r="IX66" s="92"/>
      <c r="IY66" s="87"/>
      <c r="IZ66" s="88"/>
      <c r="JA66" s="88"/>
      <c r="JB66" s="88"/>
      <c r="JC66" s="88"/>
      <c r="JD66" s="88"/>
      <c r="JE66" s="88"/>
      <c r="JF66" s="88"/>
      <c r="JG66" s="88"/>
      <c r="JH66" s="88"/>
      <c r="JI66" s="88"/>
      <c r="JJ66" s="88"/>
      <c r="JK66" s="88"/>
      <c r="JL66" s="88"/>
      <c r="JM66" s="88"/>
      <c r="JN66" s="88"/>
      <c r="JO66" s="88"/>
      <c r="JP66" s="88"/>
      <c r="JQ66" s="88"/>
      <c r="JR66" s="88"/>
      <c r="JS66" s="88"/>
      <c r="JT66" s="88"/>
      <c r="JU66" s="88"/>
      <c r="JV66" s="88"/>
      <c r="JW66" s="88"/>
      <c r="JX66" s="88"/>
      <c r="JY66" s="88"/>
      <c r="JZ66" s="88"/>
      <c r="KA66" s="89"/>
      <c r="KB66" s="90"/>
      <c r="KC66" s="88"/>
      <c r="KD66" s="88"/>
      <c r="KE66" s="88"/>
      <c r="KF66" s="88"/>
      <c r="KG66" s="88"/>
    </row>
    <row r="67" customFormat="false" ht="22.5" hidden="false" customHeight="true" outlineLevel="1" collapsed="false">
      <c r="B67" s="75" t="s">
        <v>201</v>
      </c>
      <c r="C67" s="138" t="s">
        <v>202</v>
      </c>
      <c r="D67" s="127" t="s">
        <v>203</v>
      </c>
      <c r="E67" s="139" t="n">
        <v>2</v>
      </c>
      <c r="F67" s="140" t="n">
        <v>2</v>
      </c>
      <c r="G67" s="141" t="n">
        <f aca="false">E67-F67</f>
        <v>0</v>
      </c>
      <c r="H67" s="142" t="n">
        <v>5</v>
      </c>
      <c r="I67" s="132" t="s">
        <v>198</v>
      </c>
      <c r="J67" s="133" t="n">
        <v>46200</v>
      </c>
      <c r="K67" s="133" t="n">
        <v>46200</v>
      </c>
      <c r="L67" s="143" t="n">
        <f aca="false">K67-J67</f>
        <v>0</v>
      </c>
      <c r="M67" s="136" t="n">
        <f aca="false">IFERROR(F67/E67,"")</f>
        <v>1</v>
      </c>
      <c r="N67" s="87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9"/>
      <c r="AK67" s="90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  <c r="BD67" s="88"/>
      <c r="BE67" s="88"/>
      <c r="BF67" s="88"/>
      <c r="BG67" s="88"/>
      <c r="BH67" s="88"/>
      <c r="BI67" s="88"/>
      <c r="BJ67" s="88"/>
      <c r="BK67" s="88"/>
      <c r="BL67" s="88"/>
      <c r="BM67" s="88"/>
      <c r="BN67" s="89"/>
      <c r="BO67" s="90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  <c r="CA67" s="88"/>
      <c r="CB67" s="88"/>
      <c r="CC67" s="88"/>
      <c r="CD67" s="88"/>
      <c r="CE67" s="88"/>
      <c r="CF67" s="88"/>
      <c r="CG67" s="88"/>
      <c r="CH67" s="88"/>
      <c r="CI67" s="88"/>
      <c r="CJ67" s="88"/>
      <c r="CK67" s="88"/>
      <c r="CL67" s="88"/>
      <c r="CM67" s="88"/>
      <c r="CN67" s="88"/>
      <c r="CO67" s="88"/>
      <c r="CP67" s="88"/>
      <c r="CQ67" s="88"/>
      <c r="CR67" s="88"/>
      <c r="CS67" s="91"/>
      <c r="CT67" s="90"/>
      <c r="CU67" s="88"/>
      <c r="CV67" s="88"/>
      <c r="CW67" s="88"/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  <c r="DL67" s="88"/>
      <c r="DM67" s="88"/>
      <c r="DN67" s="88"/>
      <c r="DO67" s="88"/>
      <c r="DP67" s="88"/>
      <c r="DQ67" s="88"/>
      <c r="DR67" s="88"/>
      <c r="DS67" s="88"/>
      <c r="DT67" s="88"/>
      <c r="DU67" s="92"/>
      <c r="DV67" s="87"/>
      <c r="DW67" s="88"/>
      <c r="DX67" s="88"/>
      <c r="DY67" s="88"/>
      <c r="DZ67" s="88"/>
      <c r="EA67" s="88"/>
      <c r="EB67" s="88"/>
      <c r="EC67" s="88"/>
      <c r="ED67" s="89"/>
      <c r="EE67" s="90"/>
      <c r="EF67" s="88"/>
      <c r="EG67" s="88"/>
      <c r="EH67" s="88"/>
      <c r="EI67" s="88"/>
      <c r="EJ67" s="88"/>
      <c r="EK67" s="88"/>
      <c r="EL67" s="88"/>
      <c r="EM67" s="88"/>
      <c r="EN67" s="88"/>
      <c r="EO67" s="88"/>
      <c r="EP67" s="88"/>
      <c r="EQ67" s="88"/>
      <c r="ER67" s="88"/>
      <c r="ES67" s="88"/>
      <c r="ET67" s="88"/>
      <c r="EU67" s="88"/>
      <c r="EV67" s="88"/>
      <c r="EW67" s="88"/>
      <c r="EX67" s="88"/>
      <c r="EY67" s="88"/>
      <c r="EZ67" s="88"/>
      <c r="FA67" s="88"/>
      <c r="FB67" s="88"/>
      <c r="FC67" s="88"/>
      <c r="FD67" s="88"/>
      <c r="FE67" s="88"/>
      <c r="FF67" s="88"/>
      <c r="FG67" s="88"/>
      <c r="FH67" s="88"/>
      <c r="FI67" s="89"/>
      <c r="FJ67" s="90"/>
      <c r="FK67" s="88"/>
      <c r="FL67" s="88"/>
      <c r="FM67" s="88"/>
      <c r="FN67" s="88"/>
      <c r="FO67" s="88"/>
      <c r="FP67" s="88"/>
      <c r="FQ67" s="88"/>
      <c r="FR67" s="88"/>
      <c r="FS67" s="88"/>
      <c r="FT67" s="88"/>
      <c r="FU67" s="88"/>
      <c r="FV67" s="88"/>
      <c r="FW67" s="88"/>
      <c r="FX67" s="88"/>
      <c r="FY67" s="88"/>
      <c r="FZ67" s="88"/>
      <c r="GA67" s="88"/>
      <c r="GB67" s="88"/>
      <c r="GC67" s="88"/>
      <c r="GD67" s="88"/>
      <c r="GE67" s="88"/>
      <c r="GF67" s="88"/>
      <c r="GG67" s="88"/>
      <c r="GH67" s="88"/>
      <c r="GI67" s="88"/>
      <c r="GJ67" s="88"/>
      <c r="GK67" s="88"/>
      <c r="GL67" s="88"/>
      <c r="GM67" s="88"/>
      <c r="GN67" s="89"/>
      <c r="GO67" s="90"/>
      <c r="GP67" s="88"/>
      <c r="GQ67" s="88"/>
      <c r="GR67" s="88"/>
      <c r="GS67" s="88"/>
      <c r="GT67" s="88"/>
      <c r="GU67" s="88"/>
      <c r="GV67" s="88"/>
      <c r="GW67" s="88"/>
      <c r="GX67" s="88"/>
      <c r="GY67" s="88"/>
      <c r="GZ67" s="88"/>
      <c r="HA67" s="88"/>
      <c r="HB67" s="88"/>
      <c r="HC67" s="88"/>
      <c r="HD67" s="88"/>
      <c r="HE67" s="88"/>
      <c r="HF67" s="88"/>
      <c r="HG67" s="88"/>
      <c r="HH67" s="88"/>
      <c r="HI67" s="88"/>
      <c r="HJ67" s="88"/>
      <c r="HK67" s="88"/>
      <c r="HL67" s="88"/>
      <c r="HM67" s="88"/>
      <c r="HN67" s="88"/>
      <c r="HO67" s="92"/>
      <c r="HP67" s="87"/>
      <c r="HQ67" s="88"/>
      <c r="HR67" s="89"/>
      <c r="HS67" s="90"/>
      <c r="HT67" s="88"/>
      <c r="HU67" s="88"/>
      <c r="HV67" s="88"/>
      <c r="HW67" s="88"/>
      <c r="HX67" s="88"/>
      <c r="HY67" s="88"/>
      <c r="HZ67" s="88"/>
      <c r="IA67" s="88"/>
      <c r="IB67" s="88"/>
      <c r="IC67" s="88"/>
      <c r="ID67" s="88"/>
      <c r="IE67" s="88"/>
      <c r="IF67" s="88"/>
      <c r="IG67" s="88"/>
      <c r="IH67" s="88"/>
      <c r="II67" s="88"/>
      <c r="IJ67" s="88"/>
      <c r="IK67" s="88"/>
      <c r="IL67" s="88"/>
      <c r="IM67" s="88"/>
      <c r="IN67" s="88"/>
      <c r="IO67" s="88"/>
      <c r="IP67" s="88"/>
      <c r="IQ67" s="88"/>
      <c r="IR67" s="88"/>
      <c r="IS67" s="88"/>
      <c r="IT67" s="88"/>
      <c r="IU67" s="88"/>
      <c r="IV67" s="88"/>
      <c r="IW67" s="89"/>
      <c r="IX67" s="92"/>
      <c r="IY67" s="87"/>
      <c r="IZ67" s="88"/>
      <c r="JA67" s="88"/>
      <c r="JB67" s="88"/>
      <c r="JC67" s="88"/>
      <c r="JD67" s="88"/>
      <c r="JE67" s="88"/>
      <c r="JF67" s="88"/>
      <c r="JG67" s="88"/>
      <c r="JH67" s="88"/>
      <c r="JI67" s="88"/>
      <c r="JJ67" s="88"/>
      <c r="JK67" s="88"/>
      <c r="JL67" s="88"/>
      <c r="JM67" s="88"/>
      <c r="JN67" s="88"/>
      <c r="JO67" s="88"/>
      <c r="JP67" s="88"/>
      <c r="JQ67" s="88"/>
      <c r="JR67" s="88"/>
      <c r="JS67" s="88"/>
      <c r="JT67" s="88"/>
      <c r="JU67" s="88"/>
      <c r="JV67" s="88"/>
      <c r="JW67" s="88"/>
      <c r="JX67" s="88"/>
      <c r="JY67" s="88"/>
      <c r="JZ67" s="88"/>
      <c r="KA67" s="89"/>
      <c r="KB67" s="90"/>
      <c r="KC67" s="88"/>
      <c r="KD67" s="88"/>
      <c r="KE67" s="88"/>
      <c r="KF67" s="88"/>
      <c r="KG67" s="88"/>
    </row>
    <row r="68" customFormat="false" ht="22.5" hidden="false" customHeight="true" outlineLevel="1" collapsed="false">
      <c r="B68" s="75" t="s">
        <v>204</v>
      </c>
      <c r="C68" s="138" t="s">
        <v>205</v>
      </c>
      <c r="D68" s="127" t="s">
        <v>206</v>
      </c>
      <c r="E68" s="139" t="n">
        <v>3</v>
      </c>
      <c r="F68" s="140" t="n">
        <v>3</v>
      </c>
      <c r="G68" s="141" t="n">
        <f aca="false">E68-F68</f>
        <v>0</v>
      </c>
      <c r="H68" s="142" t="n">
        <v>5</v>
      </c>
      <c r="I68" s="132" t="s">
        <v>201</v>
      </c>
      <c r="J68" s="133" t="n">
        <v>46200</v>
      </c>
      <c r="K68" s="133" t="n">
        <v>46202</v>
      </c>
      <c r="L68" s="143" t="n">
        <f aca="false">K68-J68</f>
        <v>2</v>
      </c>
      <c r="M68" s="136" t="n">
        <f aca="false">IFERROR(F68/E68,"")</f>
        <v>1</v>
      </c>
      <c r="N68" s="87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9"/>
      <c r="AK68" s="90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  <c r="BD68" s="88"/>
      <c r="BE68" s="88"/>
      <c r="BF68" s="88"/>
      <c r="BG68" s="88"/>
      <c r="BH68" s="88"/>
      <c r="BI68" s="88"/>
      <c r="BJ68" s="88"/>
      <c r="BK68" s="88"/>
      <c r="BL68" s="88"/>
      <c r="BM68" s="88"/>
      <c r="BN68" s="89"/>
      <c r="BO68" s="90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  <c r="CA68" s="88"/>
      <c r="CB68" s="88"/>
      <c r="CC68" s="88"/>
      <c r="CD68" s="88"/>
      <c r="CE68" s="88"/>
      <c r="CF68" s="88"/>
      <c r="CG68" s="88"/>
      <c r="CH68" s="88"/>
      <c r="CI68" s="88"/>
      <c r="CJ68" s="88"/>
      <c r="CK68" s="88"/>
      <c r="CL68" s="88"/>
      <c r="CM68" s="88"/>
      <c r="CN68" s="88"/>
      <c r="CO68" s="88"/>
      <c r="CP68" s="88"/>
      <c r="CQ68" s="88"/>
      <c r="CR68" s="88"/>
      <c r="CS68" s="91"/>
      <c r="CT68" s="90"/>
      <c r="CU68" s="88"/>
      <c r="CV68" s="88"/>
      <c r="CW68" s="88"/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  <c r="DL68" s="88"/>
      <c r="DM68" s="88"/>
      <c r="DN68" s="88"/>
      <c r="DO68" s="88"/>
      <c r="DP68" s="88"/>
      <c r="DQ68" s="88"/>
      <c r="DR68" s="88"/>
      <c r="DS68" s="88"/>
      <c r="DT68" s="88"/>
      <c r="DU68" s="92"/>
      <c r="DV68" s="87"/>
      <c r="DW68" s="88"/>
      <c r="DX68" s="88"/>
      <c r="DY68" s="88"/>
      <c r="DZ68" s="88"/>
      <c r="EA68" s="88"/>
      <c r="EB68" s="88"/>
      <c r="EC68" s="88"/>
      <c r="ED68" s="89"/>
      <c r="EE68" s="90"/>
      <c r="EF68" s="88"/>
      <c r="EG68" s="88"/>
      <c r="EH68" s="88"/>
      <c r="EI68" s="88"/>
      <c r="EJ68" s="88"/>
      <c r="EK68" s="88"/>
      <c r="EL68" s="88"/>
      <c r="EM68" s="88"/>
      <c r="EN68" s="88"/>
      <c r="EO68" s="88"/>
      <c r="EP68" s="88"/>
      <c r="EQ68" s="88"/>
      <c r="ER68" s="88"/>
      <c r="ES68" s="88"/>
      <c r="ET68" s="88"/>
      <c r="EU68" s="88"/>
      <c r="EV68" s="88"/>
      <c r="EW68" s="88"/>
      <c r="EX68" s="88"/>
      <c r="EY68" s="88"/>
      <c r="EZ68" s="88"/>
      <c r="FA68" s="88"/>
      <c r="FB68" s="88"/>
      <c r="FC68" s="88"/>
      <c r="FD68" s="88"/>
      <c r="FE68" s="88"/>
      <c r="FF68" s="88"/>
      <c r="FG68" s="88"/>
      <c r="FH68" s="88"/>
      <c r="FI68" s="89"/>
      <c r="FJ68" s="90"/>
      <c r="FK68" s="88"/>
      <c r="FL68" s="88"/>
      <c r="FM68" s="88"/>
      <c r="FN68" s="88"/>
      <c r="FO68" s="88"/>
      <c r="FP68" s="88"/>
      <c r="FQ68" s="88"/>
      <c r="FR68" s="88"/>
      <c r="FS68" s="88"/>
      <c r="FT68" s="88"/>
      <c r="FU68" s="88"/>
      <c r="FV68" s="88"/>
      <c r="FW68" s="88"/>
      <c r="FX68" s="88"/>
      <c r="FY68" s="88"/>
      <c r="FZ68" s="88"/>
      <c r="GA68" s="88"/>
      <c r="GB68" s="88"/>
      <c r="GC68" s="88"/>
      <c r="GD68" s="88"/>
      <c r="GE68" s="88"/>
      <c r="GF68" s="88"/>
      <c r="GG68" s="88"/>
      <c r="GH68" s="88"/>
      <c r="GI68" s="88"/>
      <c r="GJ68" s="88"/>
      <c r="GK68" s="88"/>
      <c r="GL68" s="88"/>
      <c r="GM68" s="88"/>
      <c r="GN68" s="89"/>
      <c r="GO68" s="90"/>
      <c r="GP68" s="88"/>
      <c r="GQ68" s="88"/>
      <c r="GR68" s="88"/>
      <c r="GS68" s="88"/>
      <c r="GT68" s="88"/>
      <c r="GU68" s="88"/>
      <c r="GV68" s="88"/>
      <c r="GW68" s="88"/>
      <c r="GX68" s="88"/>
      <c r="GY68" s="88"/>
      <c r="GZ68" s="88"/>
      <c r="HA68" s="88"/>
      <c r="HB68" s="88"/>
      <c r="HC68" s="88"/>
      <c r="HD68" s="88"/>
      <c r="HE68" s="88"/>
      <c r="HF68" s="88"/>
      <c r="HG68" s="88"/>
      <c r="HH68" s="88"/>
      <c r="HI68" s="88"/>
      <c r="HJ68" s="88"/>
      <c r="HK68" s="88"/>
      <c r="HL68" s="88"/>
      <c r="HM68" s="88"/>
      <c r="HN68" s="88"/>
      <c r="HO68" s="92"/>
      <c r="HP68" s="87"/>
      <c r="HQ68" s="88"/>
      <c r="HR68" s="89"/>
      <c r="HS68" s="90"/>
      <c r="HT68" s="88"/>
      <c r="HU68" s="88"/>
      <c r="HV68" s="88"/>
      <c r="HW68" s="88"/>
      <c r="HX68" s="88"/>
      <c r="HY68" s="88"/>
      <c r="HZ68" s="88"/>
      <c r="IA68" s="88"/>
      <c r="IB68" s="88"/>
      <c r="IC68" s="88"/>
      <c r="ID68" s="88"/>
      <c r="IE68" s="88"/>
      <c r="IF68" s="88"/>
      <c r="IG68" s="88"/>
      <c r="IH68" s="88"/>
      <c r="II68" s="88"/>
      <c r="IJ68" s="88"/>
      <c r="IK68" s="88"/>
      <c r="IL68" s="88"/>
      <c r="IM68" s="88"/>
      <c r="IN68" s="88"/>
      <c r="IO68" s="88"/>
      <c r="IP68" s="88"/>
      <c r="IQ68" s="88"/>
      <c r="IR68" s="88"/>
      <c r="IS68" s="88"/>
      <c r="IT68" s="88"/>
      <c r="IU68" s="88"/>
      <c r="IV68" s="88"/>
      <c r="IW68" s="89"/>
      <c r="IX68" s="92"/>
      <c r="IY68" s="87"/>
      <c r="IZ68" s="88"/>
      <c r="JA68" s="88"/>
      <c r="JB68" s="88"/>
      <c r="JC68" s="88"/>
      <c r="JD68" s="88"/>
      <c r="JE68" s="88"/>
      <c r="JF68" s="88"/>
      <c r="JG68" s="88"/>
      <c r="JH68" s="88"/>
      <c r="JI68" s="88"/>
      <c r="JJ68" s="88"/>
      <c r="JK68" s="88"/>
      <c r="JL68" s="88"/>
      <c r="JM68" s="88"/>
      <c r="JN68" s="88"/>
      <c r="JO68" s="88"/>
      <c r="JP68" s="88"/>
      <c r="JQ68" s="88"/>
      <c r="JR68" s="88"/>
      <c r="JS68" s="88"/>
      <c r="JT68" s="88"/>
      <c r="JU68" s="88"/>
      <c r="JV68" s="88"/>
      <c r="JW68" s="88"/>
      <c r="JX68" s="88"/>
      <c r="JY68" s="88"/>
      <c r="JZ68" s="88"/>
      <c r="KA68" s="89"/>
      <c r="KB68" s="90"/>
      <c r="KC68" s="88"/>
      <c r="KD68" s="88"/>
      <c r="KE68" s="88"/>
      <c r="KF68" s="88"/>
      <c r="KG68" s="88"/>
    </row>
    <row r="69" customFormat="false" ht="22.5" hidden="false" customHeight="true" outlineLevel="1" collapsed="false">
      <c r="B69" s="75" t="s">
        <v>207</v>
      </c>
      <c r="C69" s="138" t="s">
        <v>208</v>
      </c>
      <c r="D69" s="127" t="s">
        <v>138</v>
      </c>
      <c r="E69" s="139" t="n">
        <v>4</v>
      </c>
      <c r="F69" s="140" t="n">
        <v>4</v>
      </c>
      <c r="G69" s="141" t="n">
        <f aca="false">E69-F69</f>
        <v>0</v>
      </c>
      <c r="H69" s="142" t="n">
        <v>5</v>
      </c>
      <c r="I69" s="132" t="s">
        <v>204</v>
      </c>
      <c r="J69" s="133" t="n">
        <v>46202</v>
      </c>
      <c r="K69" s="133" t="n">
        <v>46204</v>
      </c>
      <c r="L69" s="143" t="n">
        <f aca="false">K69-J69</f>
        <v>2</v>
      </c>
      <c r="M69" s="136" t="n">
        <f aca="false">IFERROR(F69/E69,"")</f>
        <v>1</v>
      </c>
      <c r="N69" s="87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9"/>
      <c r="AK69" s="90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  <c r="BD69" s="88"/>
      <c r="BE69" s="88"/>
      <c r="BF69" s="88"/>
      <c r="BG69" s="88"/>
      <c r="BH69" s="88"/>
      <c r="BI69" s="88"/>
      <c r="BJ69" s="88"/>
      <c r="BK69" s="88"/>
      <c r="BL69" s="88"/>
      <c r="BM69" s="88"/>
      <c r="BN69" s="89"/>
      <c r="BO69" s="90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  <c r="CA69" s="88"/>
      <c r="CB69" s="88"/>
      <c r="CC69" s="88"/>
      <c r="CD69" s="88"/>
      <c r="CE69" s="88"/>
      <c r="CF69" s="88"/>
      <c r="CG69" s="88"/>
      <c r="CH69" s="88"/>
      <c r="CI69" s="88"/>
      <c r="CJ69" s="88"/>
      <c r="CK69" s="88"/>
      <c r="CL69" s="88"/>
      <c r="CM69" s="88"/>
      <c r="CN69" s="88"/>
      <c r="CO69" s="88"/>
      <c r="CP69" s="88"/>
      <c r="CQ69" s="88"/>
      <c r="CR69" s="88"/>
      <c r="CS69" s="91"/>
      <c r="CT69" s="90"/>
      <c r="CU69" s="88"/>
      <c r="CV69" s="88"/>
      <c r="CW69" s="88"/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  <c r="DL69" s="88"/>
      <c r="DM69" s="88"/>
      <c r="DN69" s="88"/>
      <c r="DO69" s="88"/>
      <c r="DP69" s="88"/>
      <c r="DQ69" s="88"/>
      <c r="DR69" s="88"/>
      <c r="DS69" s="88"/>
      <c r="DT69" s="88"/>
      <c r="DU69" s="92"/>
      <c r="DV69" s="87"/>
      <c r="DW69" s="88"/>
      <c r="DX69" s="88"/>
      <c r="DY69" s="88"/>
      <c r="DZ69" s="88"/>
      <c r="EA69" s="88"/>
      <c r="EB69" s="88"/>
      <c r="EC69" s="88"/>
      <c r="ED69" s="89"/>
      <c r="EE69" s="90"/>
      <c r="EF69" s="88"/>
      <c r="EG69" s="88"/>
      <c r="EH69" s="88"/>
      <c r="EI69" s="88"/>
      <c r="EJ69" s="88"/>
      <c r="EK69" s="88"/>
      <c r="EL69" s="88"/>
      <c r="EM69" s="88"/>
      <c r="EN69" s="88"/>
      <c r="EO69" s="88"/>
      <c r="EP69" s="88"/>
      <c r="EQ69" s="88"/>
      <c r="ER69" s="88"/>
      <c r="ES69" s="88"/>
      <c r="ET69" s="88"/>
      <c r="EU69" s="88"/>
      <c r="EV69" s="88"/>
      <c r="EW69" s="88"/>
      <c r="EX69" s="88"/>
      <c r="EY69" s="88"/>
      <c r="EZ69" s="88"/>
      <c r="FA69" s="88"/>
      <c r="FB69" s="88"/>
      <c r="FC69" s="88"/>
      <c r="FD69" s="88"/>
      <c r="FE69" s="88"/>
      <c r="FF69" s="88"/>
      <c r="FG69" s="88"/>
      <c r="FH69" s="88"/>
      <c r="FI69" s="89"/>
      <c r="FJ69" s="90"/>
      <c r="FK69" s="88"/>
      <c r="FL69" s="88"/>
      <c r="FM69" s="88"/>
      <c r="FN69" s="88"/>
      <c r="FO69" s="88"/>
      <c r="FP69" s="88"/>
      <c r="FQ69" s="88"/>
      <c r="FR69" s="88"/>
      <c r="FS69" s="88"/>
      <c r="FT69" s="88"/>
      <c r="FU69" s="88"/>
      <c r="FV69" s="88"/>
      <c r="FW69" s="88"/>
      <c r="FX69" s="88"/>
      <c r="FY69" s="88"/>
      <c r="FZ69" s="88"/>
      <c r="GA69" s="88"/>
      <c r="GB69" s="88"/>
      <c r="GC69" s="88"/>
      <c r="GD69" s="88"/>
      <c r="GE69" s="88"/>
      <c r="GF69" s="88"/>
      <c r="GG69" s="88"/>
      <c r="GH69" s="88"/>
      <c r="GI69" s="88"/>
      <c r="GJ69" s="88"/>
      <c r="GK69" s="88"/>
      <c r="GL69" s="88"/>
      <c r="GM69" s="88"/>
      <c r="GN69" s="89"/>
      <c r="GO69" s="90"/>
      <c r="GP69" s="88"/>
      <c r="GQ69" s="88"/>
      <c r="GR69" s="88"/>
      <c r="GS69" s="88"/>
      <c r="GT69" s="88"/>
      <c r="GU69" s="88"/>
      <c r="GV69" s="88"/>
      <c r="GW69" s="88"/>
      <c r="GX69" s="88"/>
      <c r="GY69" s="88"/>
      <c r="GZ69" s="88"/>
      <c r="HA69" s="88"/>
      <c r="HB69" s="88"/>
      <c r="HC69" s="88"/>
      <c r="HD69" s="88"/>
      <c r="HE69" s="88"/>
      <c r="HF69" s="88"/>
      <c r="HG69" s="88"/>
      <c r="HH69" s="88"/>
      <c r="HI69" s="88"/>
      <c r="HJ69" s="88"/>
      <c r="HK69" s="88"/>
      <c r="HL69" s="88"/>
      <c r="HM69" s="88"/>
      <c r="HN69" s="88"/>
      <c r="HO69" s="92"/>
      <c r="HP69" s="87"/>
      <c r="HQ69" s="88"/>
      <c r="HR69" s="89"/>
      <c r="HS69" s="90"/>
      <c r="HT69" s="88"/>
      <c r="HU69" s="88"/>
      <c r="HV69" s="88"/>
      <c r="HW69" s="88"/>
      <c r="HX69" s="88"/>
      <c r="HY69" s="88"/>
      <c r="HZ69" s="88"/>
      <c r="IA69" s="88"/>
      <c r="IB69" s="88"/>
      <c r="IC69" s="88"/>
      <c r="ID69" s="88"/>
      <c r="IE69" s="88"/>
      <c r="IF69" s="88"/>
      <c r="IG69" s="88"/>
      <c r="IH69" s="88"/>
      <c r="II69" s="88"/>
      <c r="IJ69" s="88"/>
      <c r="IK69" s="88"/>
      <c r="IL69" s="88"/>
      <c r="IM69" s="88"/>
      <c r="IN69" s="88"/>
      <c r="IO69" s="88"/>
      <c r="IP69" s="88"/>
      <c r="IQ69" s="88"/>
      <c r="IR69" s="88"/>
      <c r="IS69" s="88"/>
      <c r="IT69" s="88"/>
      <c r="IU69" s="88"/>
      <c r="IV69" s="88"/>
      <c r="IW69" s="89"/>
      <c r="IX69" s="92"/>
      <c r="IY69" s="87"/>
      <c r="IZ69" s="88"/>
      <c r="JA69" s="88"/>
      <c r="JB69" s="88"/>
      <c r="JC69" s="88"/>
      <c r="JD69" s="88"/>
      <c r="JE69" s="88"/>
      <c r="JF69" s="88"/>
      <c r="JG69" s="88"/>
      <c r="JH69" s="88"/>
      <c r="JI69" s="88"/>
      <c r="JJ69" s="88"/>
      <c r="JK69" s="88"/>
      <c r="JL69" s="88"/>
      <c r="JM69" s="88"/>
      <c r="JN69" s="88"/>
      <c r="JO69" s="88"/>
      <c r="JP69" s="88"/>
      <c r="JQ69" s="88"/>
      <c r="JR69" s="88"/>
      <c r="JS69" s="88"/>
      <c r="JT69" s="88"/>
      <c r="JU69" s="88"/>
      <c r="JV69" s="88"/>
      <c r="JW69" s="88"/>
      <c r="JX69" s="88"/>
      <c r="JY69" s="88"/>
      <c r="JZ69" s="88"/>
      <c r="KA69" s="89"/>
      <c r="KB69" s="90"/>
      <c r="KC69" s="88"/>
      <c r="KD69" s="88"/>
      <c r="KE69" s="88"/>
      <c r="KF69" s="88"/>
      <c r="KG69" s="88"/>
    </row>
    <row r="70" customFormat="false" ht="22.5" hidden="false" customHeight="true" outlineLevel="1" collapsed="false">
      <c r="B70" s="75" t="s">
        <v>209</v>
      </c>
      <c r="C70" s="138" t="s">
        <v>210</v>
      </c>
      <c r="D70" s="127" t="s">
        <v>211</v>
      </c>
      <c r="E70" s="139" t="n">
        <v>3</v>
      </c>
      <c r="F70" s="140" t="n">
        <v>3</v>
      </c>
      <c r="G70" s="141" t="n">
        <f aca="false">E70-F70</f>
        <v>0</v>
      </c>
      <c r="H70" s="142" t="n">
        <v>5</v>
      </c>
      <c r="I70" s="132" t="s">
        <v>207</v>
      </c>
      <c r="J70" s="133" t="n">
        <v>46204</v>
      </c>
      <c r="K70" s="133" t="n">
        <v>46205</v>
      </c>
      <c r="L70" s="143" t="n">
        <f aca="false">K70-J70</f>
        <v>1</v>
      </c>
      <c r="M70" s="136" t="n">
        <f aca="false">IFERROR(F70/E70,"")</f>
        <v>1</v>
      </c>
      <c r="N70" s="87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9"/>
      <c r="AK70" s="90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9"/>
      <c r="BO70" s="90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91"/>
      <c r="CT70" s="90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92"/>
      <c r="DV70" s="87"/>
      <c r="DW70" s="88"/>
      <c r="DX70" s="88"/>
      <c r="DY70" s="88"/>
      <c r="DZ70" s="88"/>
      <c r="EA70" s="88"/>
      <c r="EB70" s="88"/>
      <c r="EC70" s="88"/>
      <c r="ED70" s="89"/>
      <c r="EE70" s="90"/>
      <c r="EF70" s="88"/>
      <c r="EG70" s="88"/>
      <c r="EH70" s="88"/>
      <c r="EI70" s="88"/>
      <c r="EJ70" s="88"/>
      <c r="EK70" s="88"/>
      <c r="EL70" s="88"/>
      <c r="EM70" s="88"/>
      <c r="EN70" s="88"/>
      <c r="EO70" s="88"/>
      <c r="EP70" s="88"/>
      <c r="EQ70" s="88"/>
      <c r="ER70" s="88"/>
      <c r="ES70" s="88"/>
      <c r="ET70" s="88"/>
      <c r="EU70" s="88"/>
      <c r="EV70" s="88"/>
      <c r="EW70" s="88"/>
      <c r="EX70" s="88"/>
      <c r="EY70" s="88"/>
      <c r="EZ70" s="88"/>
      <c r="FA70" s="88"/>
      <c r="FB70" s="88"/>
      <c r="FC70" s="88"/>
      <c r="FD70" s="88"/>
      <c r="FE70" s="88"/>
      <c r="FF70" s="88"/>
      <c r="FG70" s="88"/>
      <c r="FH70" s="88"/>
      <c r="FI70" s="89"/>
      <c r="FJ70" s="90"/>
      <c r="FK70" s="88"/>
      <c r="FL70" s="88"/>
      <c r="FM70" s="88"/>
      <c r="FN70" s="88"/>
      <c r="FO70" s="88"/>
      <c r="FP70" s="88"/>
      <c r="FQ70" s="88"/>
      <c r="FR70" s="88"/>
      <c r="FS70" s="88"/>
      <c r="FT70" s="88"/>
      <c r="FU70" s="88"/>
      <c r="FV70" s="88"/>
      <c r="FW70" s="88"/>
      <c r="FX70" s="88"/>
      <c r="FY70" s="88"/>
      <c r="FZ70" s="88"/>
      <c r="GA70" s="88"/>
      <c r="GB70" s="88"/>
      <c r="GC70" s="88"/>
      <c r="GD70" s="88"/>
      <c r="GE70" s="88"/>
      <c r="GF70" s="88"/>
      <c r="GG70" s="88"/>
      <c r="GH70" s="88"/>
      <c r="GI70" s="88"/>
      <c r="GJ70" s="88"/>
      <c r="GK70" s="88"/>
      <c r="GL70" s="88"/>
      <c r="GM70" s="88"/>
      <c r="GN70" s="89"/>
      <c r="GO70" s="90"/>
      <c r="GP70" s="88"/>
      <c r="GQ70" s="88"/>
      <c r="GR70" s="88"/>
      <c r="GS70" s="88"/>
      <c r="GT70" s="88"/>
      <c r="GU70" s="88"/>
      <c r="GV70" s="88"/>
      <c r="GW70" s="88"/>
      <c r="GX70" s="88"/>
      <c r="GY70" s="88"/>
      <c r="GZ70" s="88"/>
      <c r="HA70" s="88"/>
      <c r="HB70" s="88"/>
      <c r="HC70" s="88"/>
      <c r="HD70" s="88"/>
      <c r="HE70" s="88"/>
      <c r="HF70" s="88"/>
      <c r="HG70" s="88"/>
      <c r="HH70" s="88"/>
      <c r="HI70" s="88"/>
      <c r="HJ70" s="88"/>
      <c r="HK70" s="88"/>
      <c r="HL70" s="88"/>
      <c r="HM70" s="88"/>
      <c r="HN70" s="88"/>
      <c r="HO70" s="92"/>
      <c r="HP70" s="87"/>
      <c r="HQ70" s="88"/>
      <c r="HR70" s="89"/>
      <c r="HS70" s="90"/>
      <c r="HT70" s="88"/>
      <c r="HU70" s="88"/>
      <c r="HV70" s="88"/>
      <c r="HW70" s="88"/>
      <c r="HX70" s="88"/>
      <c r="HY70" s="88"/>
      <c r="HZ70" s="88"/>
      <c r="IA70" s="88"/>
      <c r="IB70" s="88"/>
      <c r="IC70" s="88"/>
      <c r="ID70" s="88"/>
      <c r="IE70" s="88"/>
      <c r="IF70" s="88"/>
      <c r="IG70" s="88"/>
      <c r="IH70" s="88"/>
      <c r="II70" s="88"/>
      <c r="IJ70" s="88"/>
      <c r="IK70" s="88"/>
      <c r="IL70" s="88"/>
      <c r="IM70" s="88"/>
      <c r="IN70" s="88"/>
      <c r="IO70" s="88"/>
      <c r="IP70" s="88"/>
      <c r="IQ70" s="88"/>
      <c r="IR70" s="88"/>
      <c r="IS70" s="88"/>
      <c r="IT70" s="88"/>
      <c r="IU70" s="88"/>
      <c r="IV70" s="88"/>
      <c r="IW70" s="89"/>
      <c r="IX70" s="92"/>
      <c r="IY70" s="87"/>
      <c r="IZ70" s="88"/>
      <c r="JA70" s="88"/>
      <c r="JB70" s="88"/>
      <c r="JC70" s="88"/>
      <c r="JD70" s="88"/>
      <c r="JE70" s="88"/>
      <c r="JF70" s="88"/>
      <c r="JG70" s="88"/>
      <c r="JH70" s="88"/>
      <c r="JI70" s="88"/>
      <c r="JJ70" s="88"/>
      <c r="JK70" s="88"/>
      <c r="JL70" s="88"/>
      <c r="JM70" s="88"/>
      <c r="JN70" s="88"/>
      <c r="JO70" s="88"/>
      <c r="JP70" s="88"/>
      <c r="JQ70" s="88"/>
      <c r="JR70" s="88"/>
      <c r="JS70" s="88"/>
      <c r="JT70" s="88"/>
      <c r="JU70" s="88"/>
      <c r="JV70" s="88"/>
      <c r="JW70" s="88"/>
      <c r="JX70" s="88"/>
      <c r="JY70" s="88"/>
      <c r="JZ70" s="88"/>
      <c r="KA70" s="89"/>
      <c r="KB70" s="90"/>
      <c r="KC70" s="88"/>
      <c r="KD70" s="88"/>
      <c r="KE70" s="88"/>
      <c r="KF70" s="88"/>
      <c r="KG70" s="88"/>
    </row>
    <row r="71" customFormat="false" ht="22.5" hidden="false" customHeight="true" outlineLevel="1" collapsed="false">
      <c r="B71" s="106" t="s">
        <v>212</v>
      </c>
      <c r="C71" s="138" t="s">
        <v>213</v>
      </c>
      <c r="D71" s="150" t="s">
        <v>214</v>
      </c>
      <c r="E71" s="151" t="n">
        <v>2</v>
      </c>
      <c r="F71" s="152" t="n">
        <v>2</v>
      </c>
      <c r="G71" s="153" t="n">
        <f aca="false">E71-F71</f>
        <v>0</v>
      </c>
      <c r="H71" s="154" t="n">
        <v>5</v>
      </c>
      <c r="I71" s="155" t="s">
        <v>209</v>
      </c>
      <c r="J71" s="133" t="n">
        <v>46209</v>
      </c>
      <c r="K71" s="133" t="n">
        <v>46209</v>
      </c>
      <c r="L71" s="156" t="n">
        <f aca="false">K71-J71</f>
        <v>0</v>
      </c>
      <c r="M71" s="157" t="n">
        <f aca="false">IFERROR(F71/E71,"")</f>
        <v>1</v>
      </c>
      <c r="N71" s="87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9"/>
      <c r="AK71" s="90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  <c r="BD71" s="88"/>
      <c r="BE71" s="88"/>
      <c r="BF71" s="88"/>
      <c r="BG71" s="88"/>
      <c r="BH71" s="88"/>
      <c r="BI71" s="88"/>
      <c r="BJ71" s="88"/>
      <c r="BK71" s="88"/>
      <c r="BL71" s="88"/>
      <c r="BM71" s="88"/>
      <c r="BN71" s="89"/>
      <c r="BO71" s="90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91"/>
      <c r="CT71" s="90"/>
      <c r="CU71" s="88"/>
      <c r="CV71" s="88"/>
      <c r="CW71" s="88"/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  <c r="DL71" s="88"/>
      <c r="DM71" s="88"/>
      <c r="DN71" s="88"/>
      <c r="DO71" s="88"/>
      <c r="DP71" s="88"/>
      <c r="DQ71" s="88"/>
      <c r="DR71" s="88"/>
      <c r="DS71" s="88"/>
      <c r="DT71" s="88"/>
      <c r="DU71" s="92"/>
      <c r="DV71" s="87"/>
      <c r="DW71" s="88"/>
      <c r="DX71" s="88"/>
      <c r="DY71" s="88"/>
      <c r="DZ71" s="88"/>
      <c r="EA71" s="88"/>
      <c r="EB71" s="88"/>
      <c r="EC71" s="88"/>
      <c r="ED71" s="89"/>
      <c r="EE71" s="90"/>
      <c r="EF71" s="88"/>
      <c r="EG71" s="88"/>
      <c r="EH71" s="88"/>
      <c r="EI71" s="88"/>
      <c r="EJ71" s="88"/>
      <c r="EK71" s="88"/>
      <c r="EL71" s="88"/>
      <c r="EM71" s="88"/>
      <c r="EN71" s="88"/>
      <c r="EO71" s="88"/>
      <c r="EP71" s="88"/>
      <c r="EQ71" s="88"/>
      <c r="ER71" s="88"/>
      <c r="ES71" s="88"/>
      <c r="ET71" s="88"/>
      <c r="EU71" s="88"/>
      <c r="EV71" s="88"/>
      <c r="EW71" s="88"/>
      <c r="EX71" s="88"/>
      <c r="EY71" s="88"/>
      <c r="EZ71" s="88"/>
      <c r="FA71" s="88"/>
      <c r="FB71" s="88"/>
      <c r="FC71" s="88"/>
      <c r="FD71" s="88"/>
      <c r="FE71" s="88"/>
      <c r="FF71" s="88"/>
      <c r="FG71" s="88"/>
      <c r="FH71" s="88"/>
      <c r="FI71" s="89"/>
      <c r="FJ71" s="90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9"/>
      <c r="GO71" s="90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92"/>
      <c r="HP71" s="87"/>
      <c r="HQ71" s="88"/>
      <c r="HR71" s="89"/>
      <c r="HS71" s="90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9"/>
      <c r="IX71" s="92"/>
      <c r="IY71" s="87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9"/>
      <c r="KB71" s="90"/>
      <c r="KC71" s="88"/>
      <c r="KD71" s="88"/>
      <c r="KE71" s="88"/>
      <c r="KF71" s="88"/>
      <c r="KG71" s="88"/>
    </row>
    <row r="72" customFormat="false" ht="22.5" hidden="false" customHeight="true" outlineLevel="0" collapsed="false">
      <c r="B72" s="113" t="n">
        <v>4</v>
      </c>
      <c r="C72" s="145" t="s">
        <v>215</v>
      </c>
      <c r="D72" s="58"/>
      <c r="E72" s="158"/>
      <c r="F72" s="159"/>
      <c r="G72" s="160"/>
      <c r="H72" s="161"/>
      <c r="I72" s="162"/>
      <c r="J72" s="163"/>
      <c r="K72" s="164"/>
      <c r="L72" s="165"/>
      <c r="M72" s="67" t="n">
        <f aca="false">IFERROR($F$187/$E$187,"")</f>
        <v>0.723684210526316</v>
      </c>
      <c r="N72" s="68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3"/>
      <c r="AK72" s="73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3"/>
      <c r="BO72" s="73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4"/>
      <c r="CT72" s="73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5"/>
      <c r="DV72" s="68"/>
      <c r="DW72" s="122"/>
      <c r="DX72" s="122"/>
      <c r="DY72" s="122"/>
      <c r="DZ72" s="122"/>
      <c r="EA72" s="122"/>
      <c r="EB72" s="122"/>
      <c r="EC72" s="122"/>
      <c r="ED72" s="123"/>
      <c r="EE72" s="73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3"/>
      <c r="FJ72" s="73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  <c r="GJ72" s="122"/>
      <c r="GK72" s="122"/>
      <c r="GL72" s="122"/>
      <c r="GM72" s="122"/>
      <c r="GN72" s="123"/>
      <c r="GO72" s="73"/>
      <c r="GP72" s="122"/>
      <c r="GQ72" s="122"/>
      <c r="GR72" s="122"/>
      <c r="GS72" s="122"/>
      <c r="GT72" s="122"/>
      <c r="GU72" s="122"/>
      <c r="GV72" s="122"/>
      <c r="GW72" s="122"/>
      <c r="GX72" s="122"/>
      <c r="GY72" s="122"/>
      <c r="GZ72" s="122"/>
      <c r="HA72" s="122"/>
      <c r="HB72" s="122"/>
      <c r="HC72" s="122"/>
      <c r="HD72" s="122"/>
      <c r="HE72" s="122"/>
      <c r="HF72" s="122"/>
      <c r="HG72" s="122"/>
      <c r="HH72" s="122"/>
      <c r="HI72" s="122"/>
      <c r="HJ72" s="122"/>
      <c r="HK72" s="122"/>
      <c r="HL72" s="122"/>
      <c r="HM72" s="122"/>
      <c r="HN72" s="122"/>
      <c r="HO72" s="125"/>
      <c r="HP72" s="68"/>
      <c r="HQ72" s="122"/>
      <c r="HR72" s="123"/>
      <c r="HS72" s="73"/>
      <c r="HT72" s="122"/>
      <c r="HU72" s="122"/>
      <c r="HV72" s="122"/>
      <c r="HW72" s="122"/>
      <c r="HX72" s="122"/>
      <c r="HY72" s="122"/>
      <c r="HZ72" s="122"/>
      <c r="IA72" s="122"/>
      <c r="IB72" s="122"/>
      <c r="IC72" s="122"/>
      <c r="ID72" s="122"/>
      <c r="IE72" s="122"/>
      <c r="IF72" s="122"/>
      <c r="IG72" s="122"/>
      <c r="IH72" s="122"/>
      <c r="II72" s="122"/>
      <c r="IJ72" s="122"/>
      <c r="IK72" s="122"/>
      <c r="IL72" s="122"/>
      <c r="IM72" s="122"/>
      <c r="IN72" s="122"/>
      <c r="IO72" s="122"/>
      <c r="IP72" s="122"/>
      <c r="IQ72" s="122"/>
      <c r="IR72" s="122"/>
      <c r="IS72" s="122"/>
      <c r="IT72" s="122"/>
      <c r="IU72" s="122"/>
      <c r="IV72" s="122"/>
      <c r="IW72" s="123"/>
      <c r="IX72" s="125"/>
      <c r="IY72" s="68"/>
      <c r="IZ72" s="122"/>
      <c r="JA72" s="122"/>
      <c r="JB72" s="122"/>
      <c r="JC72" s="122"/>
      <c r="JD72" s="122"/>
      <c r="JE72" s="122"/>
      <c r="JF72" s="122"/>
      <c r="JG72" s="122"/>
      <c r="JH72" s="122"/>
      <c r="JI72" s="122"/>
      <c r="JJ72" s="122"/>
      <c r="JK72" s="122"/>
      <c r="JL72" s="122"/>
      <c r="JM72" s="122"/>
      <c r="JN72" s="122"/>
      <c r="JO72" s="122"/>
      <c r="JP72" s="122"/>
      <c r="JQ72" s="122"/>
      <c r="JR72" s="122"/>
      <c r="JS72" s="122"/>
      <c r="JT72" s="122"/>
      <c r="JU72" s="122"/>
      <c r="JV72" s="122"/>
      <c r="JW72" s="122"/>
      <c r="JX72" s="122"/>
      <c r="JY72" s="122"/>
      <c r="JZ72" s="122"/>
      <c r="KA72" s="123"/>
      <c r="KB72" s="73"/>
      <c r="KC72" s="122"/>
      <c r="KD72" s="122"/>
      <c r="KE72" s="122"/>
      <c r="KF72" s="122"/>
      <c r="KG72" s="122"/>
    </row>
    <row r="73" customFormat="false" ht="22.5" hidden="false" customHeight="true" outlineLevel="1" collapsed="false">
      <c r="B73" s="75" t="n">
        <v>4.1</v>
      </c>
      <c r="C73" s="147" t="s">
        <v>216</v>
      </c>
      <c r="D73" s="127" t="s">
        <v>73</v>
      </c>
      <c r="E73" s="139" t="n">
        <v>2</v>
      </c>
      <c r="F73" s="140" t="n">
        <v>2</v>
      </c>
      <c r="G73" s="141" t="n">
        <f aca="false">E73-F73</f>
        <v>0</v>
      </c>
      <c r="H73" s="142" t="n">
        <v>1</v>
      </c>
      <c r="I73" s="166" t="n">
        <v>3.16</v>
      </c>
      <c r="J73" s="133" t="n">
        <v>46209</v>
      </c>
      <c r="K73" s="133" t="n">
        <v>46211</v>
      </c>
      <c r="L73" s="143" t="n">
        <f aca="false">K73-J73</f>
        <v>2</v>
      </c>
      <c r="M73" s="136" t="n">
        <f aca="false">IFERROR(F73/E73,"")</f>
        <v>1</v>
      </c>
      <c r="N73" s="87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9"/>
      <c r="AK73" s="90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9"/>
      <c r="BO73" s="90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91"/>
      <c r="CT73" s="90"/>
      <c r="CU73" s="88"/>
      <c r="CV73" s="88"/>
      <c r="CW73" s="88"/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  <c r="DL73" s="88"/>
      <c r="DM73" s="88"/>
      <c r="DN73" s="88"/>
      <c r="DO73" s="88"/>
      <c r="DP73" s="88"/>
      <c r="DQ73" s="88"/>
      <c r="DR73" s="88"/>
      <c r="DS73" s="88"/>
      <c r="DT73" s="88"/>
      <c r="DU73" s="92"/>
      <c r="DV73" s="87"/>
      <c r="DW73" s="88"/>
      <c r="DX73" s="88"/>
      <c r="DY73" s="88"/>
      <c r="DZ73" s="88"/>
      <c r="EA73" s="88"/>
      <c r="EB73" s="88"/>
      <c r="EC73" s="88"/>
      <c r="ED73" s="89"/>
      <c r="EE73" s="90"/>
      <c r="EF73" s="88"/>
      <c r="EG73" s="88"/>
      <c r="EH73" s="88"/>
      <c r="EI73" s="88"/>
      <c r="EJ73" s="88"/>
      <c r="EK73" s="88"/>
      <c r="EL73" s="88"/>
      <c r="EM73" s="88"/>
      <c r="EN73" s="88"/>
      <c r="EO73" s="88"/>
      <c r="EP73" s="88"/>
      <c r="EQ73" s="88"/>
      <c r="ER73" s="88"/>
      <c r="ES73" s="88"/>
      <c r="ET73" s="88"/>
      <c r="EU73" s="88"/>
      <c r="EV73" s="88"/>
      <c r="EW73" s="88"/>
      <c r="EX73" s="88"/>
      <c r="EY73" s="88"/>
      <c r="EZ73" s="88"/>
      <c r="FA73" s="88"/>
      <c r="FB73" s="88"/>
      <c r="FC73" s="88"/>
      <c r="FD73" s="88"/>
      <c r="FE73" s="88"/>
      <c r="FF73" s="88"/>
      <c r="FG73" s="88"/>
      <c r="FH73" s="88"/>
      <c r="FI73" s="89"/>
      <c r="FJ73" s="90"/>
      <c r="FK73" s="88"/>
      <c r="FL73" s="88"/>
      <c r="FM73" s="88"/>
      <c r="FN73" s="88"/>
      <c r="FO73" s="88"/>
      <c r="FP73" s="88"/>
      <c r="FQ73" s="88"/>
      <c r="FR73" s="88"/>
      <c r="FS73" s="88"/>
      <c r="FT73" s="88"/>
      <c r="FU73" s="88"/>
      <c r="FV73" s="88"/>
      <c r="FW73" s="88"/>
      <c r="FX73" s="88"/>
      <c r="FY73" s="88"/>
      <c r="FZ73" s="88"/>
      <c r="GA73" s="88"/>
      <c r="GB73" s="88"/>
      <c r="GC73" s="88"/>
      <c r="GD73" s="88"/>
      <c r="GE73" s="88"/>
      <c r="GF73" s="88"/>
      <c r="GG73" s="88"/>
      <c r="GH73" s="88"/>
      <c r="GI73" s="88"/>
      <c r="GJ73" s="88"/>
      <c r="GK73" s="88"/>
      <c r="GL73" s="88"/>
      <c r="GM73" s="88"/>
      <c r="GN73" s="89"/>
      <c r="GO73" s="90"/>
      <c r="GP73" s="88"/>
      <c r="GQ73" s="88"/>
      <c r="GR73" s="88"/>
      <c r="GS73" s="88"/>
      <c r="GT73" s="88"/>
      <c r="GU73" s="88"/>
      <c r="GV73" s="88"/>
      <c r="GW73" s="88"/>
      <c r="GX73" s="88"/>
      <c r="GY73" s="88"/>
      <c r="GZ73" s="88"/>
      <c r="HA73" s="88"/>
      <c r="HB73" s="88"/>
      <c r="HC73" s="88"/>
      <c r="HD73" s="88"/>
      <c r="HE73" s="88"/>
      <c r="HF73" s="88"/>
      <c r="HG73" s="88"/>
      <c r="HH73" s="88"/>
      <c r="HI73" s="88"/>
      <c r="HJ73" s="88"/>
      <c r="HK73" s="88"/>
      <c r="HL73" s="88"/>
      <c r="HM73" s="88"/>
      <c r="HN73" s="88"/>
      <c r="HO73" s="92"/>
      <c r="HP73" s="87"/>
      <c r="HQ73" s="88"/>
      <c r="HR73" s="89"/>
      <c r="HS73" s="90"/>
      <c r="HT73" s="88"/>
      <c r="HU73" s="88"/>
      <c r="HV73" s="88"/>
      <c r="HW73" s="88"/>
      <c r="HX73" s="88"/>
      <c r="HY73" s="88"/>
      <c r="HZ73" s="88"/>
      <c r="IA73" s="88"/>
      <c r="IB73" s="88"/>
      <c r="IC73" s="88"/>
      <c r="ID73" s="88"/>
      <c r="IE73" s="88"/>
      <c r="IF73" s="88"/>
      <c r="IG73" s="88"/>
      <c r="IH73" s="88"/>
      <c r="II73" s="88"/>
      <c r="IJ73" s="88"/>
      <c r="IK73" s="88"/>
      <c r="IL73" s="88"/>
      <c r="IM73" s="88"/>
      <c r="IN73" s="88"/>
      <c r="IO73" s="88"/>
      <c r="IP73" s="88"/>
      <c r="IQ73" s="88"/>
      <c r="IR73" s="88"/>
      <c r="IS73" s="88"/>
      <c r="IT73" s="88"/>
      <c r="IU73" s="88"/>
      <c r="IV73" s="88"/>
      <c r="IW73" s="89"/>
      <c r="IX73" s="92"/>
      <c r="IY73" s="87"/>
      <c r="IZ73" s="88"/>
      <c r="JA73" s="88"/>
      <c r="JB73" s="88"/>
      <c r="JC73" s="88"/>
      <c r="JD73" s="88"/>
      <c r="JE73" s="88"/>
      <c r="JF73" s="88"/>
      <c r="JG73" s="88"/>
      <c r="JH73" s="88"/>
      <c r="JI73" s="88"/>
      <c r="JJ73" s="88"/>
      <c r="JK73" s="88"/>
      <c r="JL73" s="88"/>
      <c r="JM73" s="88"/>
      <c r="JN73" s="88"/>
      <c r="JO73" s="88"/>
      <c r="JP73" s="88"/>
      <c r="JQ73" s="88"/>
      <c r="JR73" s="88"/>
      <c r="JS73" s="88"/>
      <c r="JT73" s="88"/>
      <c r="JU73" s="88"/>
      <c r="JV73" s="88"/>
      <c r="JW73" s="88"/>
      <c r="JX73" s="88"/>
      <c r="JY73" s="88"/>
      <c r="JZ73" s="88"/>
      <c r="KA73" s="89"/>
      <c r="KB73" s="90"/>
      <c r="KC73" s="88"/>
      <c r="KD73" s="88"/>
      <c r="KE73" s="88"/>
      <c r="KF73" s="88"/>
      <c r="KG73" s="88"/>
    </row>
    <row r="74" customFormat="false" ht="22.5" hidden="false" customHeight="true" outlineLevel="1" collapsed="false">
      <c r="B74" s="75" t="n">
        <v>4.2</v>
      </c>
      <c r="C74" s="147" t="s">
        <v>217</v>
      </c>
      <c r="D74" s="127" t="s">
        <v>218</v>
      </c>
      <c r="E74" s="139" t="n">
        <v>3</v>
      </c>
      <c r="F74" s="140" t="n">
        <v>3</v>
      </c>
      <c r="G74" s="141" t="n">
        <f aca="false">E74-F74</f>
        <v>0</v>
      </c>
      <c r="H74" s="142" t="n">
        <v>1</v>
      </c>
      <c r="I74" s="166" t="n">
        <v>3.16</v>
      </c>
      <c r="J74" s="133" t="n">
        <v>46209</v>
      </c>
      <c r="K74" s="133" t="n">
        <v>46211</v>
      </c>
      <c r="L74" s="143" t="n">
        <f aca="false">K74-J74</f>
        <v>2</v>
      </c>
      <c r="M74" s="136" t="n">
        <f aca="false">IFERROR(F74/E74,"")</f>
        <v>1</v>
      </c>
      <c r="N74" s="87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9"/>
      <c r="AK74" s="90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  <c r="BD74" s="88"/>
      <c r="BE74" s="88"/>
      <c r="BF74" s="88"/>
      <c r="BG74" s="88"/>
      <c r="BH74" s="88"/>
      <c r="BI74" s="88"/>
      <c r="BJ74" s="88"/>
      <c r="BK74" s="88"/>
      <c r="BL74" s="88"/>
      <c r="BM74" s="88"/>
      <c r="BN74" s="89"/>
      <c r="BO74" s="90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91"/>
      <c r="CT74" s="90"/>
      <c r="CU74" s="88"/>
      <c r="CV74" s="88"/>
      <c r="CW74" s="88"/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  <c r="DL74" s="88"/>
      <c r="DM74" s="88"/>
      <c r="DN74" s="88"/>
      <c r="DO74" s="88"/>
      <c r="DP74" s="88"/>
      <c r="DQ74" s="88"/>
      <c r="DR74" s="88"/>
      <c r="DS74" s="88"/>
      <c r="DT74" s="88"/>
      <c r="DU74" s="92"/>
      <c r="DV74" s="87"/>
      <c r="DW74" s="88"/>
      <c r="DX74" s="88"/>
      <c r="DY74" s="88"/>
      <c r="DZ74" s="88"/>
      <c r="EA74" s="88"/>
      <c r="EB74" s="88"/>
      <c r="EC74" s="88"/>
      <c r="ED74" s="89"/>
      <c r="EE74" s="90"/>
      <c r="EF74" s="88"/>
      <c r="EG74" s="88"/>
      <c r="EH74" s="88"/>
      <c r="EI74" s="88"/>
      <c r="EJ74" s="88"/>
      <c r="EK74" s="88"/>
      <c r="EL74" s="88"/>
      <c r="EM74" s="88"/>
      <c r="EN74" s="88"/>
      <c r="EO74" s="88"/>
      <c r="EP74" s="88"/>
      <c r="EQ74" s="88"/>
      <c r="ER74" s="88"/>
      <c r="ES74" s="88"/>
      <c r="ET74" s="88"/>
      <c r="EU74" s="88"/>
      <c r="EV74" s="88"/>
      <c r="EW74" s="88"/>
      <c r="EX74" s="88"/>
      <c r="EY74" s="88"/>
      <c r="EZ74" s="88"/>
      <c r="FA74" s="88"/>
      <c r="FB74" s="88"/>
      <c r="FC74" s="88"/>
      <c r="FD74" s="88"/>
      <c r="FE74" s="88"/>
      <c r="FF74" s="88"/>
      <c r="FG74" s="88"/>
      <c r="FH74" s="88"/>
      <c r="FI74" s="89"/>
      <c r="FJ74" s="90"/>
      <c r="FK74" s="88"/>
      <c r="FL74" s="88"/>
      <c r="FM74" s="88"/>
      <c r="FN74" s="88"/>
      <c r="FO74" s="88"/>
      <c r="FP74" s="88"/>
      <c r="FQ74" s="88"/>
      <c r="FR74" s="88"/>
      <c r="FS74" s="88"/>
      <c r="FT74" s="88"/>
      <c r="FU74" s="88"/>
      <c r="FV74" s="88"/>
      <c r="FW74" s="88"/>
      <c r="FX74" s="88"/>
      <c r="FY74" s="88"/>
      <c r="FZ74" s="88"/>
      <c r="GA74" s="88"/>
      <c r="GB74" s="88"/>
      <c r="GC74" s="88"/>
      <c r="GD74" s="88"/>
      <c r="GE74" s="88"/>
      <c r="GF74" s="88"/>
      <c r="GG74" s="88"/>
      <c r="GH74" s="88"/>
      <c r="GI74" s="88"/>
      <c r="GJ74" s="88"/>
      <c r="GK74" s="88"/>
      <c r="GL74" s="88"/>
      <c r="GM74" s="88"/>
      <c r="GN74" s="89"/>
      <c r="GO74" s="90"/>
      <c r="GP74" s="88"/>
      <c r="GQ74" s="88"/>
      <c r="GR74" s="88"/>
      <c r="GS74" s="88"/>
      <c r="GT74" s="88"/>
      <c r="GU74" s="88"/>
      <c r="GV74" s="88"/>
      <c r="GW74" s="88"/>
      <c r="GX74" s="88"/>
      <c r="GY74" s="88"/>
      <c r="GZ74" s="88"/>
      <c r="HA74" s="88"/>
      <c r="HB74" s="88"/>
      <c r="HC74" s="88"/>
      <c r="HD74" s="88"/>
      <c r="HE74" s="88"/>
      <c r="HF74" s="88"/>
      <c r="HG74" s="88"/>
      <c r="HH74" s="88"/>
      <c r="HI74" s="88"/>
      <c r="HJ74" s="88"/>
      <c r="HK74" s="88"/>
      <c r="HL74" s="88"/>
      <c r="HM74" s="88"/>
      <c r="HN74" s="88"/>
      <c r="HO74" s="92"/>
      <c r="HP74" s="87"/>
      <c r="HQ74" s="88"/>
      <c r="HR74" s="89"/>
      <c r="HS74" s="90"/>
      <c r="HT74" s="88"/>
      <c r="HU74" s="88"/>
      <c r="HV74" s="88"/>
      <c r="HW74" s="88"/>
      <c r="HX74" s="88"/>
      <c r="HY74" s="88"/>
      <c r="HZ74" s="88"/>
      <c r="IA74" s="88"/>
      <c r="IB74" s="88"/>
      <c r="IC74" s="88"/>
      <c r="ID74" s="88"/>
      <c r="IE74" s="88"/>
      <c r="IF74" s="88"/>
      <c r="IG74" s="88"/>
      <c r="IH74" s="88"/>
      <c r="II74" s="88"/>
      <c r="IJ74" s="88"/>
      <c r="IK74" s="88"/>
      <c r="IL74" s="88"/>
      <c r="IM74" s="88"/>
      <c r="IN74" s="88"/>
      <c r="IO74" s="88"/>
      <c r="IP74" s="88"/>
      <c r="IQ74" s="88"/>
      <c r="IR74" s="88"/>
      <c r="IS74" s="88"/>
      <c r="IT74" s="88"/>
      <c r="IU74" s="88"/>
      <c r="IV74" s="88"/>
      <c r="IW74" s="89"/>
      <c r="IX74" s="92"/>
      <c r="IY74" s="87"/>
      <c r="IZ74" s="88"/>
      <c r="JA74" s="88"/>
      <c r="JB74" s="88"/>
      <c r="JC74" s="88"/>
      <c r="JD74" s="88"/>
      <c r="JE74" s="88"/>
      <c r="JF74" s="88"/>
      <c r="JG74" s="88"/>
      <c r="JH74" s="88"/>
      <c r="JI74" s="88"/>
      <c r="JJ74" s="88"/>
      <c r="JK74" s="88"/>
      <c r="JL74" s="88"/>
      <c r="JM74" s="88"/>
      <c r="JN74" s="88"/>
      <c r="JO74" s="88"/>
      <c r="JP74" s="88"/>
      <c r="JQ74" s="88"/>
      <c r="JR74" s="88"/>
      <c r="JS74" s="88"/>
      <c r="JT74" s="88"/>
      <c r="JU74" s="88"/>
      <c r="JV74" s="88"/>
      <c r="JW74" s="88"/>
      <c r="JX74" s="88"/>
      <c r="JY74" s="88"/>
      <c r="JZ74" s="88"/>
      <c r="KA74" s="89"/>
      <c r="KB74" s="90"/>
      <c r="KC74" s="88"/>
      <c r="KD74" s="88"/>
      <c r="KE74" s="88"/>
      <c r="KF74" s="88"/>
      <c r="KG74" s="88"/>
    </row>
    <row r="75" customFormat="false" ht="22.5" hidden="false" customHeight="true" outlineLevel="1" collapsed="false">
      <c r="B75" s="75" t="n">
        <v>4.3</v>
      </c>
      <c r="C75" s="147" t="s">
        <v>219</v>
      </c>
      <c r="D75" s="127" t="s">
        <v>220</v>
      </c>
      <c r="E75" s="167" t="n">
        <v>5</v>
      </c>
      <c r="F75" s="168" t="n">
        <v>5</v>
      </c>
      <c r="G75" s="169" t="n">
        <f aca="false">E75-F75</f>
        <v>0</v>
      </c>
      <c r="H75" s="170" t="n">
        <v>1</v>
      </c>
      <c r="I75" s="171" t="n">
        <v>3.16</v>
      </c>
      <c r="J75" s="133" t="n">
        <v>46211</v>
      </c>
      <c r="K75" s="133" t="n">
        <v>46213</v>
      </c>
      <c r="L75" s="172" t="n">
        <f aca="false">K75-J75</f>
        <v>2</v>
      </c>
      <c r="M75" s="173" t="n">
        <f aca="false">IFERROR(F75/E75,"")</f>
        <v>1</v>
      </c>
      <c r="N75" s="87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9"/>
      <c r="AK75" s="90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8"/>
      <c r="BJ75" s="88"/>
      <c r="BK75" s="88"/>
      <c r="BL75" s="88"/>
      <c r="BM75" s="88"/>
      <c r="BN75" s="89"/>
      <c r="BO75" s="90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91"/>
      <c r="CT75" s="90"/>
      <c r="CU75" s="88"/>
      <c r="CV75" s="88"/>
      <c r="CW75" s="88"/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  <c r="DL75" s="88"/>
      <c r="DM75" s="88"/>
      <c r="DN75" s="88"/>
      <c r="DO75" s="88"/>
      <c r="DP75" s="88"/>
      <c r="DQ75" s="88"/>
      <c r="DR75" s="88"/>
      <c r="DS75" s="88"/>
      <c r="DT75" s="88"/>
      <c r="DU75" s="92"/>
      <c r="DV75" s="87"/>
      <c r="DW75" s="88"/>
      <c r="DX75" s="88"/>
      <c r="DY75" s="88"/>
      <c r="DZ75" s="88"/>
      <c r="EA75" s="88"/>
      <c r="EB75" s="88"/>
      <c r="EC75" s="88"/>
      <c r="ED75" s="89"/>
      <c r="EE75" s="90"/>
      <c r="EF75" s="88"/>
      <c r="EG75" s="88"/>
      <c r="EH75" s="88"/>
      <c r="EI75" s="88"/>
      <c r="EJ75" s="88"/>
      <c r="EK75" s="88"/>
      <c r="EL75" s="88"/>
      <c r="EM75" s="88"/>
      <c r="EN75" s="88"/>
      <c r="EO75" s="88"/>
      <c r="EP75" s="88"/>
      <c r="EQ75" s="88"/>
      <c r="ER75" s="88"/>
      <c r="ES75" s="88"/>
      <c r="ET75" s="88"/>
      <c r="EU75" s="88"/>
      <c r="EV75" s="88"/>
      <c r="EW75" s="88"/>
      <c r="EX75" s="88"/>
      <c r="EY75" s="88"/>
      <c r="EZ75" s="88"/>
      <c r="FA75" s="88"/>
      <c r="FB75" s="88"/>
      <c r="FC75" s="88"/>
      <c r="FD75" s="88"/>
      <c r="FE75" s="88"/>
      <c r="FF75" s="88"/>
      <c r="FG75" s="88"/>
      <c r="FH75" s="88"/>
      <c r="FI75" s="89"/>
      <c r="FJ75" s="90"/>
      <c r="FK75" s="88"/>
      <c r="FL75" s="88"/>
      <c r="FM75" s="88"/>
      <c r="FN75" s="88"/>
      <c r="FO75" s="88"/>
      <c r="FP75" s="88"/>
      <c r="FQ75" s="88"/>
      <c r="FR75" s="88"/>
      <c r="FS75" s="88"/>
      <c r="FT75" s="88"/>
      <c r="FU75" s="88"/>
      <c r="FV75" s="88"/>
      <c r="FW75" s="88"/>
      <c r="FX75" s="88"/>
      <c r="FY75" s="88"/>
      <c r="FZ75" s="88"/>
      <c r="GA75" s="88"/>
      <c r="GB75" s="88"/>
      <c r="GC75" s="88"/>
      <c r="GD75" s="88"/>
      <c r="GE75" s="88"/>
      <c r="GF75" s="88"/>
      <c r="GG75" s="88"/>
      <c r="GH75" s="88"/>
      <c r="GI75" s="88"/>
      <c r="GJ75" s="88"/>
      <c r="GK75" s="88"/>
      <c r="GL75" s="88"/>
      <c r="GM75" s="88"/>
      <c r="GN75" s="89"/>
      <c r="GO75" s="90"/>
      <c r="GP75" s="88"/>
      <c r="GQ75" s="88"/>
      <c r="GR75" s="88"/>
      <c r="GS75" s="88"/>
      <c r="GT75" s="88"/>
      <c r="GU75" s="88"/>
      <c r="GV75" s="88"/>
      <c r="GW75" s="88"/>
      <c r="GX75" s="88"/>
      <c r="GY75" s="88"/>
      <c r="GZ75" s="88"/>
      <c r="HA75" s="88"/>
      <c r="HB75" s="88"/>
      <c r="HC75" s="88"/>
      <c r="HD75" s="88"/>
      <c r="HE75" s="88"/>
      <c r="HF75" s="88"/>
      <c r="HG75" s="88"/>
      <c r="HH75" s="88"/>
      <c r="HI75" s="88"/>
      <c r="HJ75" s="88"/>
      <c r="HK75" s="88"/>
      <c r="HL75" s="88"/>
      <c r="HM75" s="88"/>
      <c r="HN75" s="88"/>
      <c r="HO75" s="92"/>
      <c r="HP75" s="87"/>
      <c r="HQ75" s="88"/>
      <c r="HR75" s="89"/>
      <c r="HS75" s="90"/>
      <c r="HT75" s="88"/>
      <c r="HU75" s="88"/>
      <c r="HV75" s="88"/>
      <c r="HW75" s="88"/>
      <c r="HX75" s="88"/>
      <c r="HY75" s="88"/>
      <c r="HZ75" s="88"/>
      <c r="IA75" s="88"/>
      <c r="IB75" s="88"/>
      <c r="IC75" s="88"/>
      <c r="ID75" s="88"/>
      <c r="IE75" s="88"/>
      <c r="IF75" s="88"/>
      <c r="IG75" s="88"/>
      <c r="IH75" s="88"/>
      <c r="II75" s="88"/>
      <c r="IJ75" s="88"/>
      <c r="IK75" s="88"/>
      <c r="IL75" s="88"/>
      <c r="IM75" s="88"/>
      <c r="IN75" s="88"/>
      <c r="IO75" s="88"/>
      <c r="IP75" s="88"/>
      <c r="IQ75" s="88"/>
      <c r="IR75" s="88"/>
      <c r="IS75" s="88"/>
      <c r="IT75" s="88"/>
      <c r="IU75" s="88"/>
      <c r="IV75" s="88"/>
      <c r="IW75" s="89"/>
      <c r="IX75" s="92"/>
      <c r="IY75" s="87"/>
      <c r="IZ75" s="88"/>
      <c r="JA75" s="88"/>
      <c r="JB75" s="88"/>
      <c r="JC75" s="88"/>
      <c r="JD75" s="88"/>
      <c r="JE75" s="88"/>
      <c r="JF75" s="88"/>
      <c r="JG75" s="88"/>
      <c r="JH75" s="88"/>
      <c r="JI75" s="88"/>
      <c r="JJ75" s="88"/>
      <c r="JK75" s="88"/>
      <c r="JL75" s="88"/>
      <c r="JM75" s="88"/>
      <c r="JN75" s="88"/>
      <c r="JO75" s="88"/>
      <c r="JP75" s="88"/>
      <c r="JQ75" s="88"/>
      <c r="JR75" s="88"/>
      <c r="JS75" s="88"/>
      <c r="JT75" s="88"/>
      <c r="JU75" s="88"/>
      <c r="JV75" s="88"/>
      <c r="JW75" s="88"/>
      <c r="JX75" s="88"/>
      <c r="JY75" s="88"/>
      <c r="JZ75" s="88"/>
      <c r="KA75" s="89"/>
      <c r="KB75" s="90"/>
      <c r="KC75" s="88"/>
      <c r="KD75" s="88"/>
      <c r="KE75" s="88"/>
      <c r="KF75" s="88"/>
      <c r="KG75" s="88"/>
    </row>
    <row r="76" customFormat="false" ht="22.5" hidden="false" customHeight="true" outlineLevel="1" collapsed="false">
      <c r="B76" s="75" t="s">
        <v>221</v>
      </c>
      <c r="C76" s="147" t="s">
        <v>222</v>
      </c>
      <c r="D76" s="127" t="s">
        <v>223</v>
      </c>
      <c r="E76" s="174" t="n">
        <v>3</v>
      </c>
      <c r="F76" s="175" t="n">
        <v>3</v>
      </c>
      <c r="G76" s="169" t="n">
        <f aca="false">E76-F76</f>
        <v>0</v>
      </c>
      <c r="H76" s="176" t="n">
        <v>1</v>
      </c>
      <c r="I76" s="177" t="n">
        <v>4.3</v>
      </c>
      <c r="J76" s="133" t="n">
        <v>46212</v>
      </c>
      <c r="K76" s="133" t="n">
        <v>46213</v>
      </c>
      <c r="L76" s="172" t="n">
        <f aca="false">K76-J76</f>
        <v>1</v>
      </c>
      <c r="M76" s="173" t="n">
        <f aca="false">IFERROR(F76/E76,"")</f>
        <v>1</v>
      </c>
      <c r="N76" s="87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9"/>
      <c r="AK76" s="90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88"/>
      <c r="BA76" s="88"/>
      <c r="BB76" s="88"/>
      <c r="BC76" s="88"/>
      <c r="BD76" s="88"/>
      <c r="BE76" s="88"/>
      <c r="BF76" s="88"/>
      <c r="BG76" s="88"/>
      <c r="BH76" s="88"/>
      <c r="BI76" s="88"/>
      <c r="BJ76" s="88"/>
      <c r="BK76" s="88"/>
      <c r="BL76" s="88"/>
      <c r="BM76" s="88"/>
      <c r="BN76" s="89"/>
      <c r="BO76" s="90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91"/>
      <c r="CT76" s="90"/>
      <c r="CU76" s="88"/>
      <c r="CV76" s="88"/>
      <c r="CW76" s="88"/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  <c r="DL76" s="88"/>
      <c r="DM76" s="88"/>
      <c r="DN76" s="88"/>
      <c r="DO76" s="88"/>
      <c r="DP76" s="88"/>
      <c r="DQ76" s="88"/>
      <c r="DR76" s="88"/>
      <c r="DS76" s="88"/>
      <c r="DT76" s="88"/>
      <c r="DU76" s="92"/>
      <c r="DV76" s="87"/>
      <c r="DW76" s="88"/>
      <c r="DX76" s="88"/>
      <c r="DY76" s="88"/>
      <c r="DZ76" s="88"/>
      <c r="EA76" s="88"/>
      <c r="EB76" s="88"/>
      <c r="EC76" s="88"/>
      <c r="ED76" s="89"/>
      <c r="EE76" s="90"/>
      <c r="EF76" s="88"/>
      <c r="EG76" s="88"/>
      <c r="EH76" s="88"/>
      <c r="EI76" s="88"/>
      <c r="EJ76" s="88"/>
      <c r="EK76" s="88"/>
      <c r="EL76" s="88"/>
      <c r="EM76" s="88"/>
      <c r="EN76" s="88"/>
      <c r="EO76" s="88"/>
      <c r="EP76" s="88"/>
      <c r="EQ76" s="88"/>
      <c r="ER76" s="88"/>
      <c r="ES76" s="88"/>
      <c r="ET76" s="88"/>
      <c r="EU76" s="88"/>
      <c r="EV76" s="88"/>
      <c r="EW76" s="88"/>
      <c r="EX76" s="88"/>
      <c r="EY76" s="88"/>
      <c r="EZ76" s="88"/>
      <c r="FA76" s="88"/>
      <c r="FB76" s="88"/>
      <c r="FC76" s="88"/>
      <c r="FD76" s="88"/>
      <c r="FE76" s="88"/>
      <c r="FF76" s="88"/>
      <c r="FG76" s="88"/>
      <c r="FH76" s="88"/>
      <c r="FI76" s="89"/>
      <c r="FJ76" s="90"/>
      <c r="FK76" s="88"/>
      <c r="FL76" s="88"/>
      <c r="FM76" s="88"/>
      <c r="FN76" s="88"/>
      <c r="FO76" s="88"/>
      <c r="FP76" s="88"/>
      <c r="FQ76" s="88"/>
      <c r="FR76" s="88"/>
      <c r="FS76" s="88"/>
      <c r="FT76" s="88"/>
      <c r="FU76" s="88"/>
      <c r="FV76" s="88"/>
      <c r="FW76" s="88"/>
      <c r="FX76" s="88"/>
      <c r="FY76" s="88"/>
      <c r="FZ76" s="88"/>
      <c r="GA76" s="88"/>
      <c r="GB76" s="88"/>
      <c r="GC76" s="88"/>
      <c r="GD76" s="88"/>
      <c r="GE76" s="88"/>
      <c r="GF76" s="88"/>
      <c r="GG76" s="88"/>
      <c r="GH76" s="88"/>
      <c r="GI76" s="88"/>
      <c r="GJ76" s="88"/>
      <c r="GK76" s="88"/>
      <c r="GL76" s="88"/>
      <c r="GM76" s="88"/>
      <c r="GN76" s="89"/>
      <c r="GO76" s="90"/>
      <c r="GP76" s="88"/>
      <c r="GQ76" s="88"/>
      <c r="GR76" s="88"/>
      <c r="GS76" s="88"/>
      <c r="GT76" s="88"/>
      <c r="GU76" s="88"/>
      <c r="GV76" s="88"/>
      <c r="GW76" s="88"/>
      <c r="GX76" s="88"/>
      <c r="GY76" s="88"/>
      <c r="GZ76" s="88"/>
      <c r="HA76" s="88"/>
      <c r="HB76" s="88"/>
      <c r="HC76" s="88"/>
      <c r="HD76" s="88"/>
      <c r="HE76" s="88"/>
      <c r="HF76" s="88"/>
      <c r="HG76" s="88"/>
      <c r="HH76" s="88"/>
      <c r="HI76" s="88"/>
      <c r="HJ76" s="88"/>
      <c r="HK76" s="88"/>
      <c r="HL76" s="88"/>
      <c r="HM76" s="88"/>
      <c r="HN76" s="88"/>
      <c r="HO76" s="92"/>
      <c r="HP76" s="87"/>
      <c r="HQ76" s="88"/>
      <c r="HR76" s="89"/>
      <c r="HS76" s="90"/>
      <c r="HT76" s="88"/>
      <c r="HU76" s="88"/>
      <c r="HV76" s="88"/>
      <c r="HW76" s="88"/>
      <c r="HX76" s="88"/>
      <c r="HY76" s="88"/>
      <c r="HZ76" s="88"/>
      <c r="IA76" s="88"/>
      <c r="IB76" s="88"/>
      <c r="IC76" s="88"/>
      <c r="ID76" s="88"/>
      <c r="IE76" s="88"/>
      <c r="IF76" s="88"/>
      <c r="IG76" s="88"/>
      <c r="IH76" s="88"/>
      <c r="II76" s="88"/>
      <c r="IJ76" s="88"/>
      <c r="IK76" s="88"/>
      <c r="IL76" s="88"/>
      <c r="IM76" s="88"/>
      <c r="IN76" s="88"/>
      <c r="IO76" s="88"/>
      <c r="IP76" s="88"/>
      <c r="IQ76" s="88"/>
      <c r="IR76" s="88"/>
      <c r="IS76" s="88"/>
      <c r="IT76" s="88"/>
      <c r="IU76" s="88"/>
      <c r="IV76" s="88"/>
      <c r="IW76" s="89"/>
      <c r="IX76" s="92"/>
      <c r="IY76" s="87"/>
      <c r="IZ76" s="88"/>
      <c r="JA76" s="88"/>
      <c r="JB76" s="88"/>
      <c r="JC76" s="88"/>
      <c r="JD76" s="88"/>
      <c r="JE76" s="88"/>
      <c r="JF76" s="88"/>
      <c r="JG76" s="88"/>
      <c r="JH76" s="88"/>
      <c r="JI76" s="88"/>
      <c r="JJ76" s="88"/>
      <c r="JK76" s="88"/>
      <c r="JL76" s="88"/>
      <c r="JM76" s="88"/>
      <c r="JN76" s="88"/>
      <c r="JO76" s="88"/>
      <c r="JP76" s="88"/>
      <c r="JQ76" s="88"/>
      <c r="JR76" s="88"/>
      <c r="JS76" s="88"/>
      <c r="JT76" s="88"/>
      <c r="JU76" s="88"/>
      <c r="JV76" s="88"/>
      <c r="JW76" s="88"/>
      <c r="JX76" s="88"/>
      <c r="JY76" s="88"/>
      <c r="JZ76" s="88"/>
      <c r="KA76" s="89"/>
      <c r="KB76" s="90"/>
      <c r="KC76" s="88"/>
      <c r="KD76" s="88"/>
      <c r="KE76" s="88"/>
      <c r="KF76" s="88"/>
      <c r="KG76" s="88"/>
    </row>
    <row r="77" customFormat="false" ht="22.5" hidden="false" customHeight="true" outlineLevel="1" collapsed="false">
      <c r="B77" s="75" t="s">
        <v>224</v>
      </c>
      <c r="C77" s="147" t="s">
        <v>225</v>
      </c>
      <c r="D77" s="127" t="s">
        <v>87</v>
      </c>
      <c r="E77" s="178" t="n">
        <v>2</v>
      </c>
      <c r="F77" s="179" t="n">
        <v>2</v>
      </c>
      <c r="G77" s="180" t="n">
        <f aca="false">E77-F77</f>
        <v>0</v>
      </c>
      <c r="H77" s="181" t="n">
        <v>1</v>
      </c>
      <c r="I77" s="182" t="n">
        <v>4.3</v>
      </c>
      <c r="J77" s="133" t="n">
        <v>46214</v>
      </c>
      <c r="K77" s="133" t="n">
        <v>46215</v>
      </c>
      <c r="L77" s="183" t="n">
        <f aca="false">K77-J77</f>
        <v>1</v>
      </c>
      <c r="M77" s="184" t="n">
        <f aca="false">IFERROR(F77/E77,"")</f>
        <v>1</v>
      </c>
      <c r="N77" s="87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9"/>
      <c r="AK77" s="90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88"/>
      <c r="BA77" s="88"/>
      <c r="BB77" s="88"/>
      <c r="BC77" s="88"/>
      <c r="BD77" s="88"/>
      <c r="BE77" s="88"/>
      <c r="BF77" s="88"/>
      <c r="BG77" s="88"/>
      <c r="BH77" s="88"/>
      <c r="BI77" s="88"/>
      <c r="BJ77" s="88"/>
      <c r="BK77" s="88"/>
      <c r="BL77" s="88"/>
      <c r="BM77" s="88"/>
      <c r="BN77" s="89"/>
      <c r="BO77" s="90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91"/>
      <c r="CT77" s="90"/>
      <c r="CU77" s="88"/>
      <c r="CV77" s="88"/>
      <c r="CW77" s="88"/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  <c r="DL77" s="88"/>
      <c r="DM77" s="88"/>
      <c r="DN77" s="88"/>
      <c r="DO77" s="88"/>
      <c r="DP77" s="88"/>
      <c r="DQ77" s="88"/>
      <c r="DR77" s="88"/>
      <c r="DS77" s="88"/>
      <c r="DT77" s="88"/>
      <c r="DU77" s="92"/>
      <c r="DV77" s="87"/>
      <c r="DW77" s="88"/>
      <c r="DX77" s="88"/>
      <c r="DY77" s="88"/>
      <c r="DZ77" s="88"/>
      <c r="EA77" s="88"/>
      <c r="EB77" s="88"/>
      <c r="EC77" s="88"/>
      <c r="ED77" s="89"/>
      <c r="EE77" s="90"/>
      <c r="EF77" s="88"/>
      <c r="EG77" s="88"/>
      <c r="EH77" s="88"/>
      <c r="EI77" s="88"/>
      <c r="EJ77" s="88"/>
      <c r="EK77" s="88"/>
      <c r="EL77" s="88"/>
      <c r="EM77" s="88"/>
      <c r="EN77" s="88"/>
      <c r="EO77" s="88"/>
      <c r="EP77" s="88"/>
      <c r="EQ77" s="88"/>
      <c r="ER77" s="88"/>
      <c r="ES77" s="88"/>
      <c r="ET77" s="88"/>
      <c r="EU77" s="88"/>
      <c r="EV77" s="88"/>
      <c r="EW77" s="88"/>
      <c r="EX77" s="88"/>
      <c r="EY77" s="88"/>
      <c r="EZ77" s="88"/>
      <c r="FA77" s="88"/>
      <c r="FB77" s="88"/>
      <c r="FC77" s="88"/>
      <c r="FD77" s="88"/>
      <c r="FE77" s="88"/>
      <c r="FF77" s="88"/>
      <c r="FG77" s="88"/>
      <c r="FH77" s="88"/>
      <c r="FI77" s="89"/>
      <c r="FJ77" s="90"/>
      <c r="FK77" s="88"/>
      <c r="FL77" s="88"/>
      <c r="FM77" s="88"/>
      <c r="FN77" s="88"/>
      <c r="FO77" s="88"/>
      <c r="FP77" s="88"/>
      <c r="FQ77" s="88"/>
      <c r="FR77" s="88"/>
      <c r="FS77" s="88"/>
      <c r="FT77" s="88"/>
      <c r="FU77" s="88"/>
      <c r="FV77" s="88"/>
      <c r="FW77" s="88"/>
      <c r="FX77" s="88"/>
      <c r="FY77" s="88"/>
      <c r="FZ77" s="88"/>
      <c r="GA77" s="88"/>
      <c r="GB77" s="88"/>
      <c r="GC77" s="88"/>
      <c r="GD77" s="88"/>
      <c r="GE77" s="88"/>
      <c r="GF77" s="88"/>
      <c r="GG77" s="88"/>
      <c r="GH77" s="88"/>
      <c r="GI77" s="88"/>
      <c r="GJ77" s="88"/>
      <c r="GK77" s="88"/>
      <c r="GL77" s="88"/>
      <c r="GM77" s="88"/>
      <c r="GN77" s="89"/>
      <c r="GO77" s="90"/>
      <c r="GP77" s="88"/>
      <c r="GQ77" s="88"/>
      <c r="GR77" s="88"/>
      <c r="GS77" s="88"/>
      <c r="GT77" s="88"/>
      <c r="GU77" s="88"/>
      <c r="GV77" s="88"/>
      <c r="GW77" s="88"/>
      <c r="GX77" s="88"/>
      <c r="GY77" s="88"/>
      <c r="GZ77" s="88"/>
      <c r="HA77" s="88"/>
      <c r="HB77" s="88"/>
      <c r="HC77" s="88"/>
      <c r="HD77" s="88"/>
      <c r="HE77" s="88"/>
      <c r="HF77" s="88"/>
      <c r="HG77" s="88"/>
      <c r="HH77" s="88"/>
      <c r="HI77" s="88"/>
      <c r="HJ77" s="88"/>
      <c r="HK77" s="88"/>
      <c r="HL77" s="88"/>
      <c r="HM77" s="88"/>
      <c r="HN77" s="88"/>
      <c r="HO77" s="92"/>
      <c r="HP77" s="87"/>
      <c r="HQ77" s="88"/>
      <c r="HR77" s="89"/>
      <c r="HS77" s="90"/>
      <c r="HT77" s="88"/>
      <c r="HU77" s="88"/>
      <c r="HV77" s="88"/>
      <c r="HW77" s="88"/>
      <c r="HX77" s="88"/>
      <c r="HY77" s="88"/>
      <c r="HZ77" s="88"/>
      <c r="IA77" s="88"/>
      <c r="IB77" s="88"/>
      <c r="IC77" s="88"/>
      <c r="ID77" s="88"/>
      <c r="IE77" s="88"/>
      <c r="IF77" s="88"/>
      <c r="IG77" s="88"/>
      <c r="IH77" s="88"/>
      <c r="II77" s="88"/>
      <c r="IJ77" s="88"/>
      <c r="IK77" s="88"/>
      <c r="IL77" s="88"/>
      <c r="IM77" s="88"/>
      <c r="IN77" s="88"/>
      <c r="IO77" s="88"/>
      <c r="IP77" s="88"/>
      <c r="IQ77" s="88"/>
      <c r="IR77" s="88"/>
      <c r="IS77" s="88"/>
      <c r="IT77" s="88"/>
      <c r="IU77" s="88"/>
      <c r="IV77" s="88"/>
      <c r="IW77" s="89"/>
      <c r="IX77" s="92"/>
      <c r="IY77" s="87"/>
      <c r="IZ77" s="88"/>
      <c r="JA77" s="88"/>
      <c r="JB77" s="88"/>
      <c r="JC77" s="88"/>
      <c r="JD77" s="88"/>
      <c r="JE77" s="88"/>
      <c r="JF77" s="88"/>
      <c r="JG77" s="88"/>
      <c r="JH77" s="88"/>
      <c r="JI77" s="88"/>
      <c r="JJ77" s="88"/>
      <c r="JK77" s="88"/>
      <c r="JL77" s="88"/>
      <c r="JM77" s="88"/>
      <c r="JN77" s="88"/>
      <c r="JO77" s="88"/>
      <c r="JP77" s="88"/>
      <c r="JQ77" s="88"/>
      <c r="JR77" s="88"/>
      <c r="JS77" s="88"/>
      <c r="JT77" s="88"/>
      <c r="JU77" s="88"/>
      <c r="JV77" s="88"/>
      <c r="JW77" s="88"/>
      <c r="JX77" s="88"/>
      <c r="JY77" s="88"/>
      <c r="JZ77" s="88"/>
      <c r="KA77" s="89"/>
      <c r="KB77" s="90"/>
      <c r="KC77" s="88"/>
      <c r="KD77" s="88"/>
      <c r="KE77" s="88"/>
      <c r="KF77" s="88"/>
      <c r="KG77" s="88"/>
    </row>
    <row r="78" customFormat="false" ht="22.5" hidden="false" customHeight="true" outlineLevel="1" collapsed="false">
      <c r="B78" s="75" t="s">
        <v>226</v>
      </c>
      <c r="C78" s="147" t="s">
        <v>227</v>
      </c>
      <c r="D78" s="127" t="s">
        <v>228</v>
      </c>
      <c r="E78" s="178" t="n">
        <v>6</v>
      </c>
      <c r="F78" s="179" t="n">
        <v>6</v>
      </c>
      <c r="G78" s="180" t="n">
        <f aca="false">E78-F78</f>
        <v>0</v>
      </c>
      <c r="H78" s="181" t="n">
        <v>1</v>
      </c>
      <c r="I78" s="182" t="n">
        <v>3.16</v>
      </c>
      <c r="J78" s="133" t="n">
        <v>46214</v>
      </c>
      <c r="K78" s="133" t="n">
        <v>46216</v>
      </c>
      <c r="L78" s="183" t="n">
        <f aca="false">K78-J78</f>
        <v>2</v>
      </c>
      <c r="M78" s="184" t="n">
        <f aca="false">IFERROR(F78/E78,"")</f>
        <v>1</v>
      </c>
      <c r="N78" s="87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9"/>
      <c r="AK78" s="90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9"/>
      <c r="BO78" s="90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91"/>
      <c r="CT78" s="90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92"/>
      <c r="DV78" s="87"/>
      <c r="DW78" s="88"/>
      <c r="DX78" s="88"/>
      <c r="DY78" s="88"/>
      <c r="DZ78" s="88"/>
      <c r="EA78" s="88"/>
      <c r="EB78" s="88"/>
      <c r="EC78" s="88"/>
      <c r="ED78" s="89"/>
      <c r="EE78" s="90"/>
      <c r="EF78" s="88"/>
      <c r="EG78" s="88"/>
      <c r="EH78" s="88"/>
      <c r="EI78" s="88"/>
      <c r="EJ78" s="88"/>
      <c r="EK78" s="88"/>
      <c r="EL78" s="88"/>
      <c r="EM78" s="88"/>
      <c r="EN78" s="88"/>
      <c r="EO78" s="88"/>
      <c r="EP78" s="88"/>
      <c r="EQ78" s="88"/>
      <c r="ER78" s="88"/>
      <c r="ES78" s="88"/>
      <c r="ET78" s="88"/>
      <c r="EU78" s="88"/>
      <c r="EV78" s="88"/>
      <c r="EW78" s="88"/>
      <c r="EX78" s="88"/>
      <c r="EY78" s="88"/>
      <c r="EZ78" s="88"/>
      <c r="FA78" s="88"/>
      <c r="FB78" s="88"/>
      <c r="FC78" s="88"/>
      <c r="FD78" s="88"/>
      <c r="FE78" s="88"/>
      <c r="FF78" s="88"/>
      <c r="FG78" s="88"/>
      <c r="FH78" s="88"/>
      <c r="FI78" s="89"/>
      <c r="FJ78" s="90"/>
      <c r="FK78" s="88"/>
      <c r="FL78" s="88"/>
      <c r="FM78" s="88"/>
      <c r="FN78" s="88"/>
      <c r="FO78" s="88"/>
      <c r="FP78" s="88"/>
      <c r="FQ78" s="88"/>
      <c r="FR78" s="88"/>
      <c r="FS78" s="88"/>
      <c r="FT78" s="88"/>
      <c r="FU78" s="88"/>
      <c r="FV78" s="88"/>
      <c r="FW78" s="88"/>
      <c r="FX78" s="88"/>
      <c r="FY78" s="88"/>
      <c r="FZ78" s="88"/>
      <c r="GA78" s="88"/>
      <c r="GB78" s="88"/>
      <c r="GC78" s="88"/>
      <c r="GD78" s="88"/>
      <c r="GE78" s="88"/>
      <c r="GF78" s="88"/>
      <c r="GG78" s="88"/>
      <c r="GH78" s="88"/>
      <c r="GI78" s="88"/>
      <c r="GJ78" s="88"/>
      <c r="GK78" s="88"/>
      <c r="GL78" s="88"/>
      <c r="GM78" s="88"/>
      <c r="GN78" s="89"/>
      <c r="GO78" s="90"/>
      <c r="GP78" s="88"/>
      <c r="GQ78" s="88"/>
      <c r="GR78" s="88"/>
      <c r="GS78" s="88"/>
      <c r="GT78" s="88"/>
      <c r="GU78" s="88"/>
      <c r="GV78" s="88"/>
      <c r="GW78" s="88"/>
      <c r="GX78" s="88"/>
      <c r="GY78" s="88"/>
      <c r="GZ78" s="88"/>
      <c r="HA78" s="88"/>
      <c r="HB78" s="88"/>
      <c r="HC78" s="88"/>
      <c r="HD78" s="88"/>
      <c r="HE78" s="88"/>
      <c r="HF78" s="88"/>
      <c r="HG78" s="88"/>
      <c r="HH78" s="88"/>
      <c r="HI78" s="88"/>
      <c r="HJ78" s="88"/>
      <c r="HK78" s="88"/>
      <c r="HL78" s="88"/>
      <c r="HM78" s="88"/>
      <c r="HN78" s="88"/>
      <c r="HO78" s="92"/>
      <c r="HP78" s="87"/>
      <c r="HQ78" s="88"/>
      <c r="HR78" s="89"/>
      <c r="HS78" s="90"/>
      <c r="HT78" s="88"/>
      <c r="HU78" s="88"/>
      <c r="HV78" s="88"/>
      <c r="HW78" s="88"/>
      <c r="HX78" s="88"/>
      <c r="HY78" s="88"/>
      <c r="HZ78" s="88"/>
      <c r="IA78" s="88"/>
      <c r="IB78" s="88"/>
      <c r="IC78" s="88"/>
      <c r="ID78" s="88"/>
      <c r="IE78" s="88"/>
      <c r="IF78" s="88"/>
      <c r="IG78" s="88"/>
      <c r="IH78" s="88"/>
      <c r="II78" s="88"/>
      <c r="IJ78" s="88"/>
      <c r="IK78" s="88"/>
      <c r="IL78" s="88"/>
      <c r="IM78" s="88"/>
      <c r="IN78" s="88"/>
      <c r="IO78" s="88"/>
      <c r="IP78" s="88"/>
      <c r="IQ78" s="88"/>
      <c r="IR78" s="88"/>
      <c r="IS78" s="88"/>
      <c r="IT78" s="88"/>
      <c r="IU78" s="88"/>
      <c r="IV78" s="88"/>
      <c r="IW78" s="89"/>
      <c r="IX78" s="92"/>
      <c r="IY78" s="87"/>
      <c r="IZ78" s="88"/>
      <c r="JA78" s="88"/>
      <c r="JB78" s="88"/>
      <c r="JC78" s="88"/>
      <c r="JD78" s="88"/>
      <c r="JE78" s="88"/>
      <c r="JF78" s="88"/>
      <c r="JG78" s="88"/>
      <c r="JH78" s="88"/>
      <c r="JI78" s="88"/>
      <c r="JJ78" s="88"/>
      <c r="JK78" s="88"/>
      <c r="JL78" s="88"/>
      <c r="JM78" s="88"/>
      <c r="JN78" s="88"/>
      <c r="JO78" s="88"/>
      <c r="JP78" s="88"/>
      <c r="JQ78" s="88"/>
      <c r="JR78" s="88"/>
      <c r="JS78" s="88"/>
      <c r="JT78" s="88"/>
      <c r="JU78" s="88"/>
      <c r="JV78" s="88"/>
      <c r="JW78" s="88"/>
      <c r="JX78" s="88"/>
      <c r="JY78" s="88"/>
      <c r="JZ78" s="88"/>
      <c r="KA78" s="89"/>
      <c r="KB78" s="90"/>
      <c r="KC78" s="88"/>
      <c r="KD78" s="88"/>
      <c r="KE78" s="88"/>
      <c r="KF78" s="88"/>
      <c r="KG78" s="88"/>
    </row>
    <row r="79" customFormat="false" ht="22.5" hidden="false" customHeight="true" outlineLevel="1" collapsed="false">
      <c r="B79" s="75" t="s">
        <v>229</v>
      </c>
      <c r="C79" s="147" t="s">
        <v>230</v>
      </c>
      <c r="D79" s="127" t="s">
        <v>231</v>
      </c>
      <c r="E79" s="178" t="n">
        <v>3</v>
      </c>
      <c r="F79" s="179" t="n">
        <v>3</v>
      </c>
      <c r="G79" s="180" t="n">
        <f aca="false">E79-F79</f>
        <v>0</v>
      </c>
      <c r="H79" s="181" t="n">
        <v>1</v>
      </c>
      <c r="I79" s="182" t="n">
        <v>4.3</v>
      </c>
      <c r="J79" s="133" t="n">
        <v>46216</v>
      </c>
      <c r="K79" s="133" t="n">
        <v>46218</v>
      </c>
      <c r="L79" s="183" t="n">
        <f aca="false">K79-J79</f>
        <v>2</v>
      </c>
      <c r="M79" s="184" t="n">
        <f aca="false">IFERROR(F79/E79,"")</f>
        <v>1</v>
      </c>
      <c r="N79" s="87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9"/>
      <c r="AK79" s="90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88"/>
      <c r="BA79" s="88"/>
      <c r="BB79" s="88"/>
      <c r="BC79" s="88"/>
      <c r="BD79" s="88"/>
      <c r="BE79" s="88"/>
      <c r="BF79" s="88"/>
      <c r="BG79" s="88"/>
      <c r="BH79" s="88"/>
      <c r="BI79" s="88"/>
      <c r="BJ79" s="88"/>
      <c r="BK79" s="88"/>
      <c r="BL79" s="88"/>
      <c r="BM79" s="88"/>
      <c r="BN79" s="89"/>
      <c r="BO79" s="90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91"/>
      <c r="CT79" s="90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  <c r="DL79" s="88"/>
      <c r="DM79" s="88"/>
      <c r="DN79" s="88"/>
      <c r="DO79" s="88"/>
      <c r="DP79" s="88"/>
      <c r="DQ79" s="88"/>
      <c r="DR79" s="88"/>
      <c r="DS79" s="88"/>
      <c r="DT79" s="88"/>
      <c r="DU79" s="92"/>
      <c r="DV79" s="87"/>
      <c r="DW79" s="88"/>
      <c r="DX79" s="88"/>
      <c r="DY79" s="88"/>
      <c r="DZ79" s="88"/>
      <c r="EA79" s="88"/>
      <c r="EB79" s="88"/>
      <c r="EC79" s="88"/>
      <c r="ED79" s="89"/>
      <c r="EE79" s="90"/>
      <c r="EF79" s="88"/>
      <c r="EG79" s="88"/>
      <c r="EH79" s="88"/>
      <c r="EI79" s="88"/>
      <c r="EJ79" s="88"/>
      <c r="EK79" s="88"/>
      <c r="EL79" s="88"/>
      <c r="EM79" s="88"/>
      <c r="EN79" s="88"/>
      <c r="EO79" s="88"/>
      <c r="EP79" s="88"/>
      <c r="EQ79" s="88"/>
      <c r="ER79" s="88"/>
      <c r="ES79" s="88"/>
      <c r="ET79" s="88"/>
      <c r="EU79" s="88"/>
      <c r="EV79" s="88"/>
      <c r="EW79" s="88"/>
      <c r="EX79" s="88"/>
      <c r="EY79" s="88"/>
      <c r="EZ79" s="88"/>
      <c r="FA79" s="88"/>
      <c r="FB79" s="88"/>
      <c r="FC79" s="88"/>
      <c r="FD79" s="88"/>
      <c r="FE79" s="88"/>
      <c r="FF79" s="88"/>
      <c r="FG79" s="88"/>
      <c r="FH79" s="88"/>
      <c r="FI79" s="89"/>
      <c r="FJ79" s="90"/>
      <c r="FK79" s="88"/>
      <c r="FL79" s="88"/>
      <c r="FM79" s="88"/>
      <c r="FN79" s="88"/>
      <c r="FO79" s="88"/>
      <c r="FP79" s="88"/>
      <c r="FQ79" s="88"/>
      <c r="FR79" s="88"/>
      <c r="FS79" s="88"/>
      <c r="FT79" s="88"/>
      <c r="FU79" s="88"/>
      <c r="FV79" s="88"/>
      <c r="FW79" s="88"/>
      <c r="FX79" s="88"/>
      <c r="FY79" s="88"/>
      <c r="FZ79" s="88"/>
      <c r="GA79" s="88"/>
      <c r="GB79" s="88"/>
      <c r="GC79" s="88"/>
      <c r="GD79" s="88"/>
      <c r="GE79" s="88"/>
      <c r="GF79" s="88"/>
      <c r="GG79" s="88"/>
      <c r="GH79" s="88"/>
      <c r="GI79" s="88"/>
      <c r="GJ79" s="88"/>
      <c r="GK79" s="88"/>
      <c r="GL79" s="88"/>
      <c r="GM79" s="88"/>
      <c r="GN79" s="89"/>
      <c r="GO79" s="90"/>
      <c r="GP79" s="88"/>
      <c r="GQ79" s="88"/>
      <c r="GR79" s="88"/>
      <c r="GS79" s="88"/>
      <c r="GT79" s="88"/>
      <c r="GU79" s="88"/>
      <c r="GV79" s="88"/>
      <c r="GW79" s="88"/>
      <c r="GX79" s="88"/>
      <c r="GY79" s="88"/>
      <c r="GZ79" s="88"/>
      <c r="HA79" s="88"/>
      <c r="HB79" s="88"/>
      <c r="HC79" s="88"/>
      <c r="HD79" s="88"/>
      <c r="HE79" s="88"/>
      <c r="HF79" s="88"/>
      <c r="HG79" s="88"/>
      <c r="HH79" s="88"/>
      <c r="HI79" s="88"/>
      <c r="HJ79" s="88"/>
      <c r="HK79" s="88"/>
      <c r="HL79" s="88"/>
      <c r="HM79" s="88"/>
      <c r="HN79" s="88"/>
      <c r="HO79" s="92"/>
      <c r="HP79" s="87"/>
      <c r="HQ79" s="88"/>
      <c r="HR79" s="89"/>
      <c r="HS79" s="90"/>
      <c r="HT79" s="88"/>
      <c r="HU79" s="88"/>
      <c r="HV79" s="88"/>
      <c r="HW79" s="88"/>
      <c r="HX79" s="88"/>
      <c r="HY79" s="88"/>
      <c r="HZ79" s="88"/>
      <c r="IA79" s="88"/>
      <c r="IB79" s="88"/>
      <c r="IC79" s="88"/>
      <c r="ID79" s="88"/>
      <c r="IE79" s="88"/>
      <c r="IF79" s="88"/>
      <c r="IG79" s="88"/>
      <c r="IH79" s="88"/>
      <c r="II79" s="88"/>
      <c r="IJ79" s="88"/>
      <c r="IK79" s="88"/>
      <c r="IL79" s="88"/>
      <c r="IM79" s="88"/>
      <c r="IN79" s="88"/>
      <c r="IO79" s="88"/>
      <c r="IP79" s="88"/>
      <c r="IQ79" s="88"/>
      <c r="IR79" s="88"/>
      <c r="IS79" s="88"/>
      <c r="IT79" s="88"/>
      <c r="IU79" s="88"/>
      <c r="IV79" s="88"/>
      <c r="IW79" s="89"/>
      <c r="IX79" s="92"/>
      <c r="IY79" s="87"/>
      <c r="IZ79" s="88"/>
      <c r="JA79" s="88"/>
      <c r="JB79" s="88"/>
      <c r="JC79" s="88"/>
      <c r="JD79" s="88"/>
      <c r="JE79" s="88"/>
      <c r="JF79" s="88"/>
      <c r="JG79" s="88"/>
      <c r="JH79" s="88"/>
      <c r="JI79" s="88"/>
      <c r="JJ79" s="88"/>
      <c r="JK79" s="88"/>
      <c r="JL79" s="88"/>
      <c r="JM79" s="88"/>
      <c r="JN79" s="88"/>
      <c r="JO79" s="88"/>
      <c r="JP79" s="88"/>
      <c r="JQ79" s="88"/>
      <c r="JR79" s="88"/>
      <c r="JS79" s="88"/>
      <c r="JT79" s="88"/>
      <c r="JU79" s="88"/>
      <c r="JV79" s="88"/>
      <c r="JW79" s="88"/>
      <c r="JX79" s="88"/>
      <c r="JY79" s="88"/>
      <c r="JZ79" s="88"/>
      <c r="KA79" s="89"/>
      <c r="KB79" s="90"/>
      <c r="KC79" s="88"/>
      <c r="KD79" s="88"/>
      <c r="KE79" s="88"/>
      <c r="KF79" s="88"/>
      <c r="KG79" s="88"/>
    </row>
    <row r="80" customFormat="false" ht="22.5" hidden="false" customHeight="true" outlineLevel="1" collapsed="false">
      <c r="B80" s="75" t="s">
        <v>232</v>
      </c>
      <c r="C80" s="147" t="s">
        <v>233</v>
      </c>
      <c r="D80" s="127" t="s">
        <v>234</v>
      </c>
      <c r="E80" s="178" t="n">
        <v>3</v>
      </c>
      <c r="F80" s="179" t="n">
        <v>3</v>
      </c>
      <c r="G80" s="180" t="n">
        <f aca="false">E80-F80</f>
        <v>0</v>
      </c>
      <c r="H80" s="181" t="n">
        <v>1</v>
      </c>
      <c r="I80" s="182" t="n">
        <v>4.3</v>
      </c>
      <c r="J80" s="133" t="n">
        <v>46219</v>
      </c>
      <c r="K80" s="133" t="n">
        <v>46226</v>
      </c>
      <c r="L80" s="183" t="n">
        <f aca="false">K80-J80</f>
        <v>7</v>
      </c>
      <c r="M80" s="184" t="n">
        <f aca="false">IFERROR(F80/E80,"")</f>
        <v>1</v>
      </c>
      <c r="N80" s="87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9"/>
      <c r="AK80" s="90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88"/>
      <c r="BA80" s="88"/>
      <c r="BB80" s="88"/>
      <c r="BC80" s="88"/>
      <c r="BD80" s="88"/>
      <c r="BE80" s="88"/>
      <c r="BF80" s="88"/>
      <c r="BG80" s="88"/>
      <c r="BH80" s="88"/>
      <c r="BI80" s="88"/>
      <c r="BJ80" s="88"/>
      <c r="BK80" s="88"/>
      <c r="BL80" s="88"/>
      <c r="BM80" s="88"/>
      <c r="BN80" s="89"/>
      <c r="BO80" s="90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91"/>
      <c r="CT80" s="90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  <c r="DL80" s="88"/>
      <c r="DM80" s="88"/>
      <c r="DN80" s="88"/>
      <c r="DO80" s="88"/>
      <c r="DP80" s="88"/>
      <c r="DQ80" s="88"/>
      <c r="DR80" s="88"/>
      <c r="DS80" s="88"/>
      <c r="DT80" s="88"/>
      <c r="DU80" s="92"/>
      <c r="DV80" s="87"/>
      <c r="DW80" s="88"/>
      <c r="DX80" s="88"/>
      <c r="DY80" s="88"/>
      <c r="DZ80" s="88"/>
      <c r="EA80" s="88"/>
      <c r="EB80" s="88"/>
      <c r="EC80" s="88"/>
      <c r="ED80" s="89"/>
      <c r="EE80" s="90"/>
      <c r="EF80" s="88"/>
      <c r="EG80" s="88"/>
      <c r="EH80" s="88"/>
      <c r="EI80" s="88"/>
      <c r="EJ80" s="88"/>
      <c r="EK80" s="88"/>
      <c r="EL80" s="88"/>
      <c r="EM80" s="88"/>
      <c r="EN80" s="88"/>
      <c r="EO80" s="88"/>
      <c r="EP80" s="88"/>
      <c r="EQ80" s="88"/>
      <c r="ER80" s="88"/>
      <c r="ES80" s="88"/>
      <c r="ET80" s="88"/>
      <c r="EU80" s="88"/>
      <c r="EV80" s="88"/>
      <c r="EW80" s="88"/>
      <c r="EX80" s="88"/>
      <c r="EY80" s="88"/>
      <c r="EZ80" s="88"/>
      <c r="FA80" s="88"/>
      <c r="FB80" s="88"/>
      <c r="FC80" s="88"/>
      <c r="FD80" s="88"/>
      <c r="FE80" s="88"/>
      <c r="FF80" s="88"/>
      <c r="FG80" s="88"/>
      <c r="FH80" s="88"/>
      <c r="FI80" s="89"/>
      <c r="FJ80" s="90"/>
      <c r="FK80" s="88"/>
      <c r="FL80" s="88"/>
      <c r="FM80" s="88"/>
      <c r="FN80" s="88"/>
      <c r="FO80" s="88"/>
      <c r="FP80" s="88"/>
      <c r="FQ80" s="88"/>
      <c r="FR80" s="88"/>
      <c r="FS80" s="88"/>
      <c r="FT80" s="88"/>
      <c r="FU80" s="88"/>
      <c r="FV80" s="88"/>
      <c r="FW80" s="88"/>
      <c r="FX80" s="88"/>
      <c r="FY80" s="88"/>
      <c r="FZ80" s="88"/>
      <c r="GA80" s="88"/>
      <c r="GB80" s="88"/>
      <c r="GC80" s="88"/>
      <c r="GD80" s="88"/>
      <c r="GE80" s="88"/>
      <c r="GF80" s="88"/>
      <c r="GG80" s="88"/>
      <c r="GH80" s="88"/>
      <c r="GI80" s="88"/>
      <c r="GJ80" s="88"/>
      <c r="GK80" s="88"/>
      <c r="GL80" s="88"/>
      <c r="GM80" s="88"/>
      <c r="GN80" s="89"/>
      <c r="GO80" s="90"/>
      <c r="GP80" s="88"/>
      <c r="GQ80" s="88"/>
      <c r="GR80" s="88"/>
      <c r="GS80" s="88"/>
      <c r="GT80" s="88"/>
      <c r="GU80" s="88"/>
      <c r="GV80" s="88"/>
      <c r="GW80" s="88"/>
      <c r="GX80" s="88"/>
      <c r="GY80" s="88"/>
      <c r="GZ80" s="88"/>
      <c r="HA80" s="88"/>
      <c r="HB80" s="88"/>
      <c r="HC80" s="88"/>
      <c r="HD80" s="88"/>
      <c r="HE80" s="88"/>
      <c r="HF80" s="88"/>
      <c r="HG80" s="88"/>
      <c r="HH80" s="88"/>
      <c r="HI80" s="88"/>
      <c r="HJ80" s="88"/>
      <c r="HK80" s="88"/>
      <c r="HL80" s="88"/>
      <c r="HM80" s="88"/>
      <c r="HN80" s="88"/>
      <c r="HO80" s="92"/>
      <c r="HP80" s="87"/>
      <c r="HQ80" s="88"/>
      <c r="HR80" s="89"/>
      <c r="HS80" s="90"/>
      <c r="HT80" s="88"/>
      <c r="HU80" s="88"/>
      <c r="HV80" s="88"/>
      <c r="HW80" s="88"/>
      <c r="HX80" s="88"/>
      <c r="HY80" s="88"/>
      <c r="HZ80" s="88"/>
      <c r="IA80" s="88"/>
      <c r="IB80" s="88"/>
      <c r="IC80" s="88"/>
      <c r="ID80" s="88"/>
      <c r="IE80" s="88"/>
      <c r="IF80" s="88"/>
      <c r="IG80" s="88"/>
      <c r="IH80" s="88"/>
      <c r="II80" s="88"/>
      <c r="IJ80" s="88"/>
      <c r="IK80" s="88"/>
      <c r="IL80" s="88"/>
      <c r="IM80" s="88"/>
      <c r="IN80" s="88"/>
      <c r="IO80" s="88"/>
      <c r="IP80" s="88"/>
      <c r="IQ80" s="88"/>
      <c r="IR80" s="88"/>
      <c r="IS80" s="88"/>
      <c r="IT80" s="88"/>
      <c r="IU80" s="88"/>
      <c r="IV80" s="88"/>
      <c r="IW80" s="89"/>
      <c r="IX80" s="92"/>
      <c r="IY80" s="87"/>
      <c r="IZ80" s="88"/>
      <c r="JA80" s="88"/>
      <c r="JB80" s="88"/>
      <c r="JC80" s="88"/>
      <c r="JD80" s="88"/>
      <c r="JE80" s="88"/>
      <c r="JF80" s="88"/>
      <c r="JG80" s="88"/>
      <c r="JH80" s="88"/>
      <c r="JI80" s="88"/>
      <c r="JJ80" s="88"/>
      <c r="JK80" s="88"/>
      <c r="JL80" s="88"/>
      <c r="JM80" s="88"/>
      <c r="JN80" s="88"/>
      <c r="JO80" s="88"/>
      <c r="JP80" s="88"/>
      <c r="JQ80" s="88"/>
      <c r="JR80" s="88"/>
      <c r="JS80" s="88"/>
      <c r="JT80" s="88"/>
      <c r="JU80" s="88"/>
      <c r="JV80" s="88"/>
      <c r="JW80" s="88"/>
      <c r="JX80" s="88"/>
      <c r="JY80" s="88"/>
      <c r="JZ80" s="88"/>
      <c r="KA80" s="89"/>
      <c r="KB80" s="90"/>
      <c r="KC80" s="88"/>
      <c r="KD80" s="88"/>
      <c r="KE80" s="88"/>
      <c r="KF80" s="88"/>
      <c r="KG80" s="88"/>
    </row>
    <row r="81" customFormat="false" ht="22.5" hidden="false" customHeight="true" outlineLevel="1" collapsed="false">
      <c r="B81" s="75" t="s">
        <v>235</v>
      </c>
      <c r="C81" s="147" t="s">
        <v>236</v>
      </c>
      <c r="D81" s="127" t="s">
        <v>237</v>
      </c>
      <c r="E81" s="178" t="n">
        <v>2</v>
      </c>
      <c r="F81" s="179" t="n">
        <v>2</v>
      </c>
      <c r="G81" s="180" t="n">
        <f aca="false">E81-F81</f>
        <v>0</v>
      </c>
      <c r="H81" s="181" t="n">
        <v>2</v>
      </c>
      <c r="I81" s="182" t="n">
        <v>4.8</v>
      </c>
      <c r="J81" s="133" t="n">
        <v>46237</v>
      </c>
      <c r="K81" s="133" t="n">
        <v>46238</v>
      </c>
      <c r="L81" s="183" t="n">
        <f aca="false">K81-J81</f>
        <v>1</v>
      </c>
      <c r="M81" s="184" t="n">
        <f aca="false">IFERROR(F81/E81,"")</f>
        <v>1</v>
      </c>
      <c r="N81" s="87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9"/>
      <c r="AK81" s="90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88"/>
      <c r="BA81" s="88"/>
      <c r="BB81" s="88"/>
      <c r="BC81" s="88"/>
      <c r="BD81" s="88"/>
      <c r="BE81" s="88"/>
      <c r="BF81" s="88"/>
      <c r="BG81" s="88"/>
      <c r="BH81" s="88"/>
      <c r="BI81" s="88"/>
      <c r="BJ81" s="88"/>
      <c r="BK81" s="88"/>
      <c r="BL81" s="88"/>
      <c r="BM81" s="88"/>
      <c r="BN81" s="89"/>
      <c r="BO81" s="90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91"/>
      <c r="CT81" s="90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  <c r="DL81" s="88"/>
      <c r="DM81" s="88"/>
      <c r="DN81" s="88"/>
      <c r="DO81" s="88"/>
      <c r="DP81" s="88"/>
      <c r="DQ81" s="88"/>
      <c r="DR81" s="88"/>
      <c r="DS81" s="88"/>
      <c r="DT81" s="88"/>
      <c r="DU81" s="92"/>
      <c r="DV81" s="87"/>
      <c r="DW81" s="88"/>
      <c r="DX81" s="88"/>
      <c r="DY81" s="88"/>
      <c r="DZ81" s="88"/>
      <c r="EA81" s="88"/>
      <c r="EB81" s="88"/>
      <c r="EC81" s="88"/>
      <c r="ED81" s="89"/>
      <c r="EE81" s="90"/>
      <c r="EF81" s="88"/>
      <c r="EG81" s="88"/>
      <c r="EH81" s="88"/>
      <c r="EI81" s="88"/>
      <c r="EJ81" s="88"/>
      <c r="EK81" s="88"/>
      <c r="EL81" s="88"/>
      <c r="EM81" s="88"/>
      <c r="EN81" s="88"/>
      <c r="EO81" s="88"/>
      <c r="EP81" s="88"/>
      <c r="EQ81" s="88"/>
      <c r="ER81" s="88"/>
      <c r="ES81" s="88"/>
      <c r="ET81" s="88"/>
      <c r="EU81" s="88"/>
      <c r="EV81" s="88"/>
      <c r="EW81" s="88"/>
      <c r="EX81" s="88"/>
      <c r="EY81" s="88"/>
      <c r="EZ81" s="88"/>
      <c r="FA81" s="88"/>
      <c r="FB81" s="88"/>
      <c r="FC81" s="88"/>
      <c r="FD81" s="88"/>
      <c r="FE81" s="88"/>
      <c r="FF81" s="88"/>
      <c r="FG81" s="88"/>
      <c r="FH81" s="88"/>
      <c r="FI81" s="89"/>
      <c r="FJ81" s="90"/>
      <c r="FK81" s="88"/>
      <c r="FL81" s="88"/>
      <c r="FM81" s="88"/>
      <c r="FN81" s="88"/>
      <c r="FO81" s="88"/>
      <c r="FP81" s="88"/>
      <c r="FQ81" s="88"/>
      <c r="FR81" s="88"/>
      <c r="FS81" s="88"/>
      <c r="FT81" s="88"/>
      <c r="FU81" s="88"/>
      <c r="FV81" s="88"/>
      <c r="FW81" s="88"/>
      <c r="FX81" s="88"/>
      <c r="FY81" s="88"/>
      <c r="FZ81" s="88"/>
      <c r="GA81" s="88"/>
      <c r="GB81" s="88"/>
      <c r="GC81" s="88"/>
      <c r="GD81" s="88"/>
      <c r="GE81" s="88"/>
      <c r="GF81" s="88"/>
      <c r="GG81" s="88"/>
      <c r="GH81" s="88"/>
      <c r="GI81" s="88"/>
      <c r="GJ81" s="88"/>
      <c r="GK81" s="88"/>
      <c r="GL81" s="88"/>
      <c r="GM81" s="88"/>
      <c r="GN81" s="89"/>
      <c r="GO81" s="90"/>
      <c r="GP81" s="88"/>
      <c r="GQ81" s="88"/>
      <c r="GR81" s="88"/>
      <c r="GS81" s="88"/>
      <c r="GT81" s="88"/>
      <c r="GU81" s="88"/>
      <c r="GV81" s="88"/>
      <c r="GW81" s="88"/>
      <c r="GX81" s="88"/>
      <c r="GY81" s="88"/>
      <c r="GZ81" s="88"/>
      <c r="HA81" s="88"/>
      <c r="HB81" s="88"/>
      <c r="HC81" s="88"/>
      <c r="HD81" s="88"/>
      <c r="HE81" s="88"/>
      <c r="HF81" s="88"/>
      <c r="HG81" s="88"/>
      <c r="HH81" s="88"/>
      <c r="HI81" s="88"/>
      <c r="HJ81" s="88"/>
      <c r="HK81" s="88"/>
      <c r="HL81" s="88"/>
      <c r="HM81" s="88"/>
      <c r="HN81" s="88"/>
      <c r="HO81" s="92"/>
      <c r="HP81" s="87"/>
      <c r="HQ81" s="88"/>
      <c r="HR81" s="89"/>
      <c r="HS81" s="90"/>
      <c r="HT81" s="88"/>
      <c r="HU81" s="88"/>
      <c r="HV81" s="88"/>
      <c r="HW81" s="88"/>
      <c r="HX81" s="88"/>
      <c r="HY81" s="88"/>
      <c r="HZ81" s="88"/>
      <c r="IA81" s="88"/>
      <c r="IB81" s="88"/>
      <c r="IC81" s="88"/>
      <c r="ID81" s="88"/>
      <c r="IE81" s="88"/>
      <c r="IF81" s="88"/>
      <c r="IG81" s="88"/>
      <c r="IH81" s="88"/>
      <c r="II81" s="88"/>
      <c r="IJ81" s="88"/>
      <c r="IK81" s="88"/>
      <c r="IL81" s="88"/>
      <c r="IM81" s="88"/>
      <c r="IN81" s="88"/>
      <c r="IO81" s="88"/>
      <c r="IP81" s="88"/>
      <c r="IQ81" s="88"/>
      <c r="IR81" s="88"/>
      <c r="IS81" s="88"/>
      <c r="IT81" s="88"/>
      <c r="IU81" s="88"/>
      <c r="IV81" s="88"/>
      <c r="IW81" s="89"/>
      <c r="IX81" s="92"/>
      <c r="IY81" s="87"/>
      <c r="IZ81" s="88"/>
      <c r="JA81" s="88"/>
      <c r="JB81" s="88"/>
      <c r="JC81" s="88"/>
      <c r="JD81" s="88"/>
      <c r="JE81" s="88"/>
      <c r="JF81" s="88"/>
      <c r="JG81" s="88"/>
      <c r="JH81" s="88"/>
      <c r="JI81" s="88"/>
      <c r="JJ81" s="88"/>
      <c r="JK81" s="88"/>
      <c r="JL81" s="88"/>
      <c r="JM81" s="88"/>
      <c r="JN81" s="88"/>
      <c r="JO81" s="88"/>
      <c r="JP81" s="88"/>
      <c r="JQ81" s="88"/>
      <c r="JR81" s="88"/>
      <c r="JS81" s="88"/>
      <c r="JT81" s="88"/>
      <c r="JU81" s="88"/>
      <c r="JV81" s="88"/>
      <c r="JW81" s="88"/>
      <c r="JX81" s="88"/>
      <c r="JY81" s="88"/>
      <c r="JZ81" s="88"/>
      <c r="KA81" s="89"/>
      <c r="KB81" s="90"/>
      <c r="KC81" s="88"/>
      <c r="KD81" s="88"/>
      <c r="KE81" s="88"/>
      <c r="KF81" s="88"/>
      <c r="KG81" s="88"/>
    </row>
    <row r="82" customFormat="false" ht="22.5" hidden="false" customHeight="true" outlineLevel="1" collapsed="false">
      <c r="B82" s="75" t="s">
        <v>238</v>
      </c>
      <c r="C82" s="147" t="s">
        <v>239</v>
      </c>
      <c r="D82" s="127" t="s">
        <v>240</v>
      </c>
      <c r="E82" s="178" t="n">
        <v>2</v>
      </c>
      <c r="F82" s="179" t="n">
        <v>2</v>
      </c>
      <c r="G82" s="180" t="n">
        <f aca="false">E82-F82</f>
        <v>0</v>
      </c>
      <c r="H82" s="181" t="n">
        <v>2</v>
      </c>
      <c r="I82" s="182" t="n">
        <v>4.9</v>
      </c>
      <c r="J82" s="133" t="n">
        <v>46239</v>
      </c>
      <c r="K82" s="133" t="n">
        <v>46240</v>
      </c>
      <c r="L82" s="183" t="n">
        <f aca="false">K82-J82</f>
        <v>1</v>
      </c>
      <c r="M82" s="184" t="n">
        <f aca="false">IFERROR(F82/E82,"")</f>
        <v>1</v>
      </c>
      <c r="N82" s="87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9"/>
      <c r="AK82" s="90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88"/>
      <c r="BA82" s="88"/>
      <c r="BB82" s="88"/>
      <c r="BC82" s="88"/>
      <c r="BD82" s="88"/>
      <c r="BE82" s="88"/>
      <c r="BF82" s="88"/>
      <c r="BG82" s="88"/>
      <c r="BH82" s="88"/>
      <c r="BI82" s="88"/>
      <c r="BJ82" s="88"/>
      <c r="BK82" s="88"/>
      <c r="BL82" s="88"/>
      <c r="BM82" s="88"/>
      <c r="BN82" s="89"/>
      <c r="BO82" s="90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91"/>
      <c r="CT82" s="90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  <c r="DL82" s="88"/>
      <c r="DM82" s="88"/>
      <c r="DN82" s="88"/>
      <c r="DO82" s="88"/>
      <c r="DP82" s="88"/>
      <c r="DQ82" s="88"/>
      <c r="DR82" s="88"/>
      <c r="DS82" s="88"/>
      <c r="DT82" s="88"/>
      <c r="DU82" s="92"/>
      <c r="DV82" s="87"/>
      <c r="DW82" s="88"/>
      <c r="DX82" s="88"/>
      <c r="DY82" s="88"/>
      <c r="DZ82" s="88"/>
      <c r="EA82" s="88"/>
      <c r="EB82" s="88"/>
      <c r="EC82" s="88"/>
      <c r="ED82" s="89"/>
      <c r="EE82" s="90"/>
      <c r="EF82" s="88"/>
      <c r="EG82" s="88"/>
      <c r="EH82" s="88"/>
      <c r="EI82" s="88"/>
      <c r="EJ82" s="88"/>
      <c r="EK82" s="88"/>
      <c r="EL82" s="88"/>
      <c r="EM82" s="88"/>
      <c r="EN82" s="88"/>
      <c r="EO82" s="88"/>
      <c r="EP82" s="88"/>
      <c r="EQ82" s="88"/>
      <c r="ER82" s="88"/>
      <c r="ES82" s="88"/>
      <c r="ET82" s="88"/>
      <c r="EU82" s="88"/>
      <c r="EV82" s="88"/>
      <c r="EW82" s="88"/>
      <c r="EX82" s="88"/>
      <c r="EY82" s="88"/>
      <c r="EZ82" s="88"/>
      <c r="FA82" s="88"/>
      <c r="FB82" s="88"/>
      <c r="FC82" s="88"/>
      <c r="FD82" s="88"/>
      <c r="FE82" s="88"/>
      <c r="FF82" s="88"/>
      <c r="FG82" s="88"/>
      <c r="FH82" s="88"/>
      <c r="FI82" s="89"/>
      <c r="FJ82" s="90"/>
      <c r="FK82" s="88"/>
      <c r="FL82" s="88"/>
      <c r="FM82" s="88"/>
      <c r="FN82" s="88"/>
      <c r="FO82" s="88"/>
      <c r="FP82" s="88"/>
      <c r="FQ82" s="88"/>
      <c r="FR82" s="88"/>
      <c r="FS82" s="88"/>
      <c r="FT82" s="88"/>
      <c r="FU82" s="88"/>
      <c r="FV82" s="88"/>
      <c r="FW82" s="88"/>
      <c r="FX82" s="88"/>
      <c r="FY82" s="88"/>
      <c r="FZ82" s="88"/>
      <c r="GA82" s="88"/>
      <c r="GB82" s="88"/>
      <c r="GC82" s="88"/>
      <c r="GD82" s="88"/>
      <c r="GE82" s="88"/>
      <c r="GF82" s="88"/>
      <c r="GG82" s="88"/>
      <c r="GH82" s="88"/>
      <c r="GI82" s="88"/>
      <c r="GJ82" s="88"/>
      <c r="GK82" s="88"/>
      <c r="GL82" s="88"/>
      <c r="GM82" s="88"/>
      <c r="GN82" s="89"/>
      <c r="GO82" s="90"/>
      <c r="GP82" s="88"/>
      <c r="GQ82" s="88"/>
      <c r="GR82" s="88"/>
      <c r="GS82" s="88"/>
      <c r="GT82" s="88"/>
      <c r="GU82" s="88"/>
      <c r="GV82" s="88"/>
      <c r="GW82" s="88"/>
      <c r="GX82" s="88"/>
      <c r="GY82" s="88"/>
      <c r="GZ82" s="88"/>
      <c r="HA82" s="88"/>
      <c r="HB82" s="88"/>
      <c r="HC82" s="88"/>
      <c r="HD82" s="88"/>
      <c r="HE82" s="88"/>
      <c r="HF82" s="88"/>
      <c r="HG82" s="88"/>
      <c r="HH82" s="88"/>
      <c r="HI82" s="88"/>
      <c r="HJ82" s="88"/>
      <c r="HK82" s="88"/>
      <c r="HL82" s="88"/>
      <c r="HM82" s="88"/>
      <c r="HN82" s="88"/>
      <c r="HO82" s="92"/>
      <c r="HP82" s="87"/>
      <c r="HQ82" s="88"/>
      <c r="HR82" s="89"/>
      <c r="HS82" s="90"/>
      <c r="HT82" s="88"/>
      <c r="HU82" s="88"/>
      <c r="HV82" s="88"/>
      <c r="HW82" s="88"/>
      <c r="HX82" s="88"/>
      <c r="HY82" s="88"/>
      <c r="HZ82" s="88"/>
      <c r="IA82" s="88"/>
      <c r="IB82" s="88"/>
      <c r="IC82" s="88"/>
      <c r="ID82" s="88"/>
      <c r="IE82" s="88"/>
      <c r="IF82" s="88"/>
      <c r="IG82" s="88"/>
      <c r="IH82" s="88"/>
      <c r="II82" s="88"/>
      <c r="IJ82" s="88"/>
      <c r="IK82" s="88"/>
      <c r="IL82" s="88"/>
      <c r="IM82" s="88"/>
      <c r="IN82" s="88"/>
      <c r="IO82" s="88"/>
      <c r="IP82" s="88"/>
      <c r="IQ82" s="88"/>
      <c r="IR82" s="88"/>
      <c r="IS82" s="88"/>
      <c r="IT82" s="88"/>
      <c r="IU82" s="88"/>
      <c r="IV82" s="88"/>
      <c r="IW82" s="89"/>
      <c r="IX82" s="92"/>
      <c r="IY82" s="87"/>
      <c r="IZ82" s="88"/>
      <c r="JA82" s="88"/>
      <c r="JB82" s="88"/>
      <c r="JC82" s="88"/>
      <c r="JD82" s="88"/>
      <c r="JE82" s="88"/>
      <c r="JF82" s="88"/>
      <c r="JG82" s="88"/>
      <c r="JH82" s="88"/>
      <c r="JI82" s="88"/>
      <c r="JJ82" s="88"/>
      <c r="JK82" s="88"/>
      <c r="JL82" s="88"/>
      <c r="JM82" s="88"/>
      <c r="JN82" s="88"/>
      <c r="JO82" s="88"/>
      <c r="JP82" s="88"/>
      <c r="JQ82" s="88"/>
      <c r="JR82" s="88"/>
      <c r="JS82" s="88"/>
      <c r="JT82" s="88"/>
      <c r="JU82" s="88"/>
      <c r="JV82" s="88"/>
      <c r="JW82" s="88"/>
      <c r="JX82" s="88"/>
      <c r="JY82" s="88"/>
      <c r="JZ82" s="88"/>
      <c r="KA82" s="89"/>
      <c r="KB82" s="90"/>
      <c r="KC82" s="88"/>
      <c r="KD82" s="88"/>
      <c r="KE82" s="88"/>
      <c r="KF82" s="88"/>
      <c r="KG82" s="88"/>
    </row>
    <row r="83" customFormat="false" ht="22.5" hidden="false" customHeight="true" outlineLevel="1" collapsed="false">
      <c r="B83" s="75" t="s">
        <v>241</v>
      </c>
      <c r="C83" s="147" t="s">
        <v>242</v>
      </c>
      <c r="D83" s="127" t="s">
        <v>240</v>
      </c>
      <c r="E83" s="178" t="n">
        <v>2</v>
      </c>
      <c r="F83" s="179" t="n">
        <v>2</v>
      </c>
      <c r="G83" s="180" t="n">
        <f aca="false">E83-F83</f>
        <v>0</v>
      </c>
      <c r="H83" s="181" t="n">
        <v>2</v>
      </c>
      <c r="I83" s="185" t="n">
        <v>4.1</v>
      </c>
      <c r="J83" s="133" t="n">
        <v>46241</v>
      </c>
      <c r="K83" s="133" t="n">
        <v>46242</v>
      </c>
      <c r="L83" s="183" t="n">
        <f aca="false">K83-J83</f>
        <v>1</v>
      </c>
      <c r="M83" s="184" t="n">
        <f aca="false">IFERROR(F83/E83,"")</f>
        <v>1</v>
      </c>
      <c r="N83" s="87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9"/>
      <c r="AK83" s="90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  <c r="AX83" s="88"/>
      <c r="AY83" s="88"/>
      <c r="AZ83" s="88"/>
      <c r="BA83" s="88"/>
      <c r="BB83" s="88"/>
      <c r="BC83" s="88"/>
      <c r="BD83" s="88"/>
      <c r="BE83" s="88"/>
      <c r="BF83" s="88"/>
      <c r="BG83" s="88"/>
      <c r="BH83" s="88"/>
      <c r="BI83" s="88"/>
      <c r="BJ83" s="88"/>
      <c r="BK83" s="88"/>
      <c r="BL83" s="88"/>
      <c r="BM83" s="88"/>
      <c r="BN83" s="89"/>
      <c r="BO83" s="90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91"/>
      <c r="CT83" s="90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  <c r="DL83" s="88"/>
      <c r="DM83" s="88"/>
      <c r="DN83" s="88"/>
      <c r="DO83" s="88"/>
      <c r="DP83" s="88"/>
      <c r="DQ83" s="88"/>
      <c r="DR83" s="88"/>
      <c r="DS83" s="88"/>
      <c r="DT83" s="88"/>
      <c r="DU83" s="92"/>
      <c r="DV83" s="87"/>
      <c r="DW83" s="88"/>
      <c r="DX83" s="88"/>
      <c r="DY83" s="88"/>
      <c r="DZ83" s="88"/>
      <c r="EA83" s="88"/>
      <c r="EB83" s="88"/>
      <c r="EC83" s="88"/>
      <c r="ED83" s="89"/>
      <c r="EE83" s="90"/>
      <c r="EF83" s="88"/>
      <c r="EG83" s="88"/>
      <c r="EH83" s="88"/>
      <c r="EI83" s="88"/>
      <c r="EJ83" s="88"/>
      <c r="EK83" s="88"/>
      <c r="EL83" s="88"/>
      <c r="EM83" s="88"/>
      <c r="EN83" s="88"/>
      <c r="EO83" s="88"/>
      <c r="EP83" s="88"/>
      <c r="EQ83" s="88"/>
      <c r="ER83" s="88"/>
      <c r="ES83" s="88"/>
      <c r="ET83" s="88"/>
      <c r="EU83" s="88"/>
      <c r="EV83" s="88"/>
      <c r="EW83" s="88"/>
      <c r="EX83" s="88"/>
      <c r="EY83" s="88"/>
      <c r="EZ83" s="88"/>
      <c r="FA83" s="88"/>
      <c r="FB83" s="88"/>
      <c r="FC83" s="88"/>
      <c r="FD83" s="88"/>
      <c r="FE83" s="88"/>
      <c r="FF83" s="88"/>
      <c r="FG83" s="88"/>
      <c r="FH83" s="88"/>
      <c r="FI83" s="89"/>
      <c r="FJ83" s="90"/>
      <c r="FK83" s="88"/>
      <c r="FL83" s="88"/>
      <c r="FM83" s="88"/>
      <c r="FN83" s="88"/>
      <c r="FO83" s="88"/>
      <c r="FP83" s="88"/>
      <c r="FQ83" s="88"/>
      <c r="FR83" s="88"/>
      <c r="FS83" s="88"/>
      <c r="FT83" s="88"/>
      <c r="FU83" s="88"/>
      <c r="FV83" s="88"/>
      <c r="FW83" s="88"/>
      <c r="FX83" s="88"/>
      <c r="FY83" s="88"/>
      <c r="FZ83" s="88"/>
      <c r="GA83" s="88"/>
      <c r="GB83" s="88"/>
      <c r="GC83" s="88"/>
      <c r="GD83" s="88"/>
      <c r="GE83" s="88"/>
      <c r="GF83" s="88"/>
      <c r="GG83" s="88"/>
      <c r="GH83" s="88"/>
      <c r="GI83" s="88"/>
      <c r="GJ83" s="88"/>
      <c r="GK83" s="88"/>
      <c r="GL83" s="88"/>
      <c r="GM83" s="88"/>
      <c r="GN83" s="89"/>
      <c r="GO83" s="90"/>
      <c r="GP83" s="88"/>
      <c r="GQ83" s="88"/>
      <c r="GR83" s="88"/>
      <c r="GS83" s="88"/>
      <c r="GT83" s="88"/>
      <c r="GU83" s="88"/>
      <c r="GV83" s="88"/>
      <c r="GW83" s="88"/>
      <c r="GX83" s="88"/>
      <c r="GY83" s="88"/>
      <c r="GZ83" s="88"/>
      <c r="HA83" s="88"/>
      <c r="HB83" s="88"/>
      <c r="HC83" s="88"/>
      <c r="HD83" s="88"/>
      <c r="HE83" s="88"/>
      <c r="HF83" s="88"/>
      <c r="HG83" s="88"/>
      <c r="HH83" s="88"/>
      <c r="HI83" s="88"/>
      <c r="HJ83" s="88"/>
      <c r="HK83" s="88"/>
      <c r="HL83" s="88"/>
      <c r="HM83" s="88"/>
      <c r="HN83" s="88"/>
      <c r="HO83" s="92"/>
      <c r="HP83" s="87"/>
      <c r="HQ83" s="88"/>
      <c r="HR83" s="89"/>
      <c r="HS83" s="90"/>
      <c r="HT83" s="88"/>
      <c r="HU83" s="88"/>
      <c r="HV83" s="88"/>
      <c r="HW83" s="88"/>
      <c r="HX83" s="88"/>
      <c r="HY83" s="88"/>
      <c r="HZ83" s="88"/>
      <c r="IA83" s="88"/>
      <c r="IB83" s="88"/>
      <c r="IC83" s="88"/>
      <c r="ID83" s="88"/>
      <c r="IE83" s="88"/>
      <c r="IF83" s="88"/>
      <c r="IG83" s="88"/>
      <c r="IH83" s="88"/>
      <c r="II83" s="88"/>
      <c r="IJ83" s="88"/>
      <c r="IK83" s="88"/>
      <c r="IL83" s="88"/>
      <c r="IM83" s="88"/>
      <c r="IN83" s="88"/>
      <c r="IO83" s="88"/>
      <c r="IP83" s="88"/>
      <c r="IQ83" s="88"/>
      <c r="IR83" s="88"/>
      <c r="IS83" s="88"/>
      <c r="IT83" s="88"/>
      <c r="IU83" s="88"/>
      <c r="IV83" s="88"/>
      <c r="IW83" s="89"/>
      <c r="IX83" s="92"/>
      <c r="IY83" s="87"/>
      <c r="IZ83" s="88"/>
      <c r="JA83" s="88"/>
      <c r="JB83" s="88"/>
      <c r="JC83" s="88"/>
      <c r="JD83" s="88"/>
      <c r="JE83" s="88"/>
      <c r="JF83" s="88"/>
      <c r="JG83" s="88"/>
      <c r="JH83" s="88"/>
      <c r="JI83" s="88"/>
      <c r="JJ83" s="88"/>
      <c r="JK83" s="88"/>
      <c r="JL83" s="88"/>
      <c r="JM83" s="88"/>
      <c r="JN83" s="88"/>
      <c r="JO83" s="88"/>
      <c r="JP83" s="88"/>
      <c r="JQ83" s="88"/>
      <c r="JR83" s="88"/>
      <c r="JS83" s="88"/>
      <c r="JT83" s="88"/>
      <c r="JU83" s="88"/>
      <c r="JV83" s="88"/>
      <c r="JW83" s="88"/>
      <c r="JX83" s="88"/>
      <c r="JY83" s="88"/>
      <c r="JZ83" s="88"/>
      <c r="KA83" s="89"/>
      <c r="KB83" s="90"/>
      <c r="KC83" s="88"/>
      <c r="KD83" s="88"/>
      <c r="KE83" s="88"/>
      <c r="KF83" s="88"/>
      <c r="KG83" s="88"/>
    </row>
    <row r="84" customFormat="false" ht="22.5" hidden="false" customHeight="true" outlineLevel="1" collapsed="false">
      <c r="B84" s="75" t="s">
        <v>243</v>
      </c>
      <c r="C84" s="147" t="s">
        <v>244</v>
      </c>
      <c r="D84" s="127" t="s">
        <v>245</v>
      </c>
      <c r="E84" s="178" t="n">
        <v>3</v>
      </c>
      <c r="F84" s="179" t="n">
        <v>3</v>
      </c>
      <c r="G84" s="180" t="n">
        <f aca="false">E84-F84</f>
        <v>0</v>
      </c>
      <c r="H84" s="181" t="n">
        <v>3</v>
      </c>
      <c r="I84" s="182" t="n">
        <v>4.11</v>
      </c>
      <c r="J84" s="133" t="n">
        <v>46244</v>
      </c>
      <c r="K84" s="133" t="n">
        <v>46246</v>
      </c>
      <c r="L84" s="183" t="n">
        <f aca="false">K84-J84</f>
        <v>2</v>
      </c>
      <c r="M84" s="184" t="n">
        <f aca="false">IFERROR(F84/E84,"")</f>
        <v>1</v>
      </c>
      <c r="N84" s="87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9"/>
      <c r="AK84" s="90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B84" s="88"/>
      <c r="BC84" s="88"/>
      <c r="BD84" s="88"/>
      <c r="BE84" s="88"/>
      <c r="BF84" s="88"/>
      <c r="BG84" s="88"/>
      <c r="BH84" s="88"/>
      <c r="BI84" s="88"/>
      <c r="BJ84" s="88"/>
      <c r="BK84" s="88"/>
      <c r="BL84" s="88"/>
      <c r="BM84" s="88"/>
      <c r="BN84" s="89"/>
      <c r="BO84" s="90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91"/>
      <c r="CT84" s="90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  <c r="DL84" s="88"/>
      <c r="DM84" s="88"/>
      <c r="DN84" s="88"/>
      <c r="DO84" s="88"/>
      <c r="DP84" s="88"/>
      <c r="DQ84" s="88"/>
      <c r="DR84" s="88"/>
      <c r="DS84" s="88"/>
      <c r="DT84" s="88"/>
      <c r="DU84" s="92"/>
      <c r="DV84" s="87"/>
      <c r="DW84" s="88"/>
      <c r="DX84" s="88"/>
      <c r="DY84" s="88"/>
      <c r="DZ84" s="88"/>
      <c r="EA84" s="88"/>
      <c r="EB84" s="88"/>
      <c r="EC84" s="88"/>
      <c r="ED84" s="89"/>
      <c r="EE84" s="90"/>
      <c r="EF84" s="88"/>
      <c r="EG84" s="88"/>
      <c r="EH84" s="88"/>
      <c r="EI84" s="88"/>
      <c r="EJ84" s="88"/>
      <c r="EK84" s="88"/>
      <c r="EL84" s="88"/>
      <c r="EM84" s="88"/>
      <c r="EN84" s="88"/>
      <c r="EO84" s="88"/>
      <c r="EP84" s="88"/>
      <c r="EQ84" s="88"/>
      <c r="ER84" s="88"/>
      <c r="ES84" s="88"/>
      <c r="ET84" s="88"/>
      <c r="EU84" s="88"/>
      <c r="EV84" s="88"/>
      <c r="EW84" s="88"/>
      <c r="EX84" s="88"/>
      <c r="EY84" s="88"/>
      <c r="EZ84" s="88"/>
      <c r="FA84" s="88"/>
      <c r="FB84" s="88"/>
      <c r="FC84" s="88"/>
      <c r="FD84" s="88"/>
      <c r="FE84" s="88"/>
      <c r="FF84" s="88"/>
      <c r="FG84" s="88"/>
      <c r="FH84" s="88"/>
      <c r="FI84" s="89"/>
      <c r="FJ84" s="90"/>
      <c r="FK84" s="88"/>
      <c r="FL84" s="88"/>
      <c r="FM84" s="88"/>
      <c r="FN84" s="88"/>
      <c r="FO84" s="88"/>
      <c r="FP84" s="88"/>
      <c r="FQ84" s="88"/>
      <c r="FR84" s="88"/>
      <c r="FS84" s="88"/>
      <c r="FT84" s="88"/>
      <c r="FU84" s="88"/>
      <c r="FV84" s="88"/>
      <c r="FW84" s="88"/>
      <c r="FX84" s="88"/>
      <c r="FY84" s="88"/>
      <c r="FZ84" s="88"/>
      <c r="GA84" s="88"/>
      <c r="GB84" s="88"/>
      <c r="GC84" s="88"/>
      <c r="GD84" s="88"/>
      <c r="GE84" s="88"/>
      <c r="GF84" s="88"/>
      <c r="GG84" s="88"/>
      <c r="GH84" s="88"/>
      <c r="GI84" s="88"/>
      <c r="GJ84" s="88"/>
      <c r="GK84" s="88"/>
      <c r="GL84" s="88"/>
      <c r="GM84" s="88"/>
      <c r="GN84" s="89"/>
      <c r="GO84" s="90"/>
      <c r="GP84" s="88"/>
      <c r="GQ84" s="88"/>
      <c r="GR84" s="88"/>
      <c r="GS84" s="88"/>
      <c r="GT84" s="88"/>
      <c r="GU84" s="88"/>
      <c r="GV84" s="88"/>
      <c r="GW84" s="88"/>
      <c r="GX84" s="88"/>
      <c r="GY84" s="88"/>
      <c r="GZ84" s="88"/>
      <c r="HA84" s="88"/>
      <c r="HB84" s="88"/>
      <c r="HC84" s="88"/>
      <c r="HD84" s="88"/>
      <c r="HE84" s="88"/>
      <c r="HF84" s="88"/>
      <c r="HG84" s="88"/>
      <c r="HH84" s="88"/>
      <c r="HI84" s="88"/>
      <c r="HJ84" s="88"/>
      <c r="HK84" s="88"/>
      <c r="HL84" s="88"/>
      <c r="HM84" s="88"/>
      <c r="HN84" s="88"/>
      <c r="HO84" s="92"/>
      <c r="HP84" s="87"/>
      <c r="HQ84" s="88"/>
      <c r="HR84" s="89"/>
      <c r="HS84" s="90"/>
      <c r="HT84" s="88"/>
      <c r="HU84" s="88"/>
      <c r="HV84" s="88"/>
      <c r="HW84" s="88"/>
      <c r="HX84" s="88"/>
      <c r="HY84" s="88"/>
      <c r="HZ84" s="88"/>
      <c r="IA84" s="88"/>
      <c r="IB84" s="88"/>
      <c r="IC84" s="88"/>
      <c r="ID84" s="88"/>
      <c r="IE84" s="88"/>
      <c r="IF84" s="88"/>
      <c r="IG84" s="88"/>
      <c r="IH84" s="88"/>
      <c r="II84" s="88"/>
      <c r="IJ84" s="88"/>
      <c r="IK84" s="88"/>
      <c r="IL84" s="88"/>
      <c r="IM84" s="88"/>
      <c r="IN84" s="88"/>
      <c r="IO84" s="88"/>
      <c r="IP84" s="88"/>
      <c r="IQ84" s="88"/>
      <c r="IR84" s="88"/>
      <c r="IS84" s="88"/>
      <c r="IT84" s="88"/>
      <c r="IU84" s="88"/>
      <c r="IV84" s="88"/>
      <c r="IW84" s="89"/>
      <c r="IX84" s="92"/>
      <c r="IY84" s="87"/>
      <c r="IZ84" s="88"/>
      <c r="JA84" s="88"/>
      <c r="JB84" s="88"/>
      <c r="JC84" s="88"/>
      <c r="JD84" s="88"/>
      <c r="JE84" s="88"/>
      <c r="JF84" s="88"/>
      <c r="JG84" s="88"/>
      <c r="JH84" s="88"/>
      <c r="JI84" s="88"/>
      <c r="JJ84" s="88"/>
      <c r="JK84" s="88"/>
      <c r="JL84" s="88"/>
      <c r="JM84" s="88"/>
      <c r="JN84" s="88"/>
      <c r="JO84" s="88"/>
      <c r="JP84" s="88"/>
      <c r="JQ84" s="88"/>
      <c r="JR84" s="88"/>
      <c r="JS84" s="88"/>
      <c r="JT84" s="88"/>
      <c r="JU84" s="88"/>
      <c r="JV84" s="88"/>
      <c r="JW84" s="88"/>
      <c r="JX84" s="88"/>
      <c r="JY84" s="88"/>
      <c r="JZ84" s="88"/>
      <c r="KA84" s="89"/>
      <c r="KB84" s="90"/>
      <c r="KC84" s="88"/>
      <c r="KD84" s="88"/>
      <c r="KE84" s="88"/>
      <c r="KF84" s="88"/>
      <c r="KG84" s="88"/>
    </row>
    <row r="85" customFormat="false" ht="22.5" hidden="false" customHeight="true" outlineLevel="1" collapsed="false">
      <c r="B85" s="75" t="s">
        <v>246</v>
      </c>
      <c r="C85" s="147" t="s">
        <v>247</v>
      </c>
      <c r="D85" s="127" t="s">
        <v>240</v>
      </c>
      <c r="E85" s="178" t="n">
        <v>2</v>
      </c>
      <c r="F85" s="179" t="n">
        <v>2</v>
      </c>
      <c r="G85" s="180" t="n">
        <f aca="false">E85-F85</f>
        <v>0</v>
      </c>
      <c r="H85" s="181" t="n">
        <v>3</v>
      </c>
      <c r="I85" s="182" t="n">
        <v>4.12</v>
      </c>
      <c r="J85" s="133" t="n">
        <v>46247</v>
      </c>
      <c r="K85" s="133" t="n">
        <v>46248</v>
      </c>
      <c r="L85" s="183" t="n">
        <f aca="false">K85-J85</f>
        <v>1</v>
      </c>
      <c r="M85" s="184" t="n">
        <f aca="false">IFERROR(F85/E85,"")</f>
        <v>1</v>
      </c>
      <c r="N85" s="87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9"/>
      <c r="AK85" s="90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9"/>
      <c r="BO85" s="90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91"/>
      <c r="CT85" s="90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  <c r="DL85" s="88"/>
      <c r="DM85" s="88"/>
      <c r="DN85" s="88"/>
      <c r="DO85" s="88"/>
      <c r="DP85" s="88"/>
      <c r="DQ85" s="88"/>
      <c r="DR85" s="88"/>
      <c r="DS85" s="88"/>
      <c r="DT85" s="88"/>
      <c r="DU85" s="92"/>
      <c r="DV85" s="87"/>
      <c r="DW85" s="88"/>
      <c r="DX85" s="88"/>
      <c r="DY85" s="88"/>
      <c r="DZ85" s="88"/>
      <c r="EA85" s="88"/>
      <c r="EB85" s="88"/>
      <c r="EC85" s="88"/>
      <c r="ED85" s="89"/>
      <c r="EE85" s="90"/>
      <c r="EF85" s="88"/>
      <c r="EG85" s="88"/>
      <c r="EH85" s="88"/>
      <c r="EI85" s="88"/>
      <c r="EJ85" s="88"/>
      <c r="EK85" s="88"/>
      <c r="EL85" s="88"/>
      <c r="EM85" s="88"/>
      <c r="EN85" s="88"/>
      <c r="EO85" s="88"/>
      <c r="EP85" s="88"/>
      <c r="EQ85" s="88"/>
      <c r="ER85" s="88"/>
      <c r="ES85" s="88"/>
      <c r="ET85" s="88"/>
      <c r="EU85" s="88"/>
      <c r="EV85" s="88"/>
      <c r="EW85" s="88"/>
      <c r="EX85" s="88"/>
      <c r="EY85" s="88"/>
      <c r="EZ85" s="88"/>
      <c r="FA85" s="88"/>
      <c r="FB85" s="88"/>
      <c r="FC85" s="88"/>
      <c r="FD85" s="88"/>
      <c r="FE85" s="88"/>
      <c r="FF85" s="88"/>
      <c r="FG85" s="88"/>
      <c r="FH85" s="88"/>
      <c r="FI85" s="89"/>
      <c r="FJ85" s="90"/>
      <c r="FK85" s="88"/>
      <c r="FL85" s="88"/>
      <c r="FM85" s="88"/>
      <c r="FN85" s="88"/>
      <c r="FO85" s="88"/>
      <c r="FP85" s="88"/>
      <c r="FQ85" s="88"/>
      <c r="FR85" s="88"/>
      <c r="FS85" s="88"/>
      <c r="FT85" s="88"/>
      <c r="FU85" s="88"/>
      <c r="FV85" s="88"/>
      <c r="FW85" s="88"/>
      <c r="FX85" s="88"/>
      <c r="FY85" s="88"/>
      <c r="FZ85" s="88"/>
      <c r="GA85" s="88"/>
      <c r="GB85" s="88"/>
      <c r="GC85" s="88"/>
      <c r="GD85" s="88"/>
      <c r="GE85" s="88"/>
      <c r="GF85" s="88"/>
      <c r="GG85" s="88"/>
      <c r="GH85" s="88"/>
      <c r="GI85" s="88"/>
      <c r="GJ85" s="88"/>
      <c r="GK85" s="88"/>
      <c r="GL85" s="88"/>
      <c r="GM85" s="88"/>
      <c r="GN85" s="89"/>
      <c r="GO85" s="90"/>
      <c r="GP85" s="88"/>
      <c r="GQ85" s="88"/>
      <c r="GR85" s="88"/>
      <c r="GS85" s="88"/>
      <c r="GT85" s="88"/>
      <c r="GU85" s="88"/>
      <c r="GV85" s="88"/>
      <c r="GW85" s="88"/>
      <c r="GX85" s="88"/>
      <c r="GY85" s="88"/>
      <c r="GZ85" s="88"/>
      <c r="HA85" s="88"/>
      <c r="HB85" s="88"/>
      <c r="HC85" s="88"/>
      <c r="HD85" s="88"/>
      <c r="HE85" s="88"/>
      <c r="HF85" s="88"/>
      <c r="HG85" s="88"/>
      <c r="HH85" s="88"/>
      <c r="HI85" s="88"/>
      <c r="HJ85" s="88"/>
      <c r="HK85" s="88"/>
      <c r="HL85" s="88"/>
      <c r="HM85" s="88"/>
      <c r="HN85" s="88"/>
      <c r="HO85" s="92"/>
      <c r="HP85" s="87"/>
      <c r="HQ85" s="88"/>
      <c r="HR85" s="89"/>
      <c r="HS85" s="90"/>
      <c r="HT85" s="88"/>
      <c r="HU85" s="88"/>
      <c r="HV85" s="88"/>
      <c r="HW85" s="88"/>
      <c r="HX85" s="88"/>
      <c r="HY85" s="88"/>
      <c r="HZ85" s="88"/>
      <c r="IA85" s="88"/>
      <c r="IB85" s="88"/>
      <c r="IC85" s="88"/>
      <c r="ID85" s="88"/>
      <c r="IE85" s="88"/>
      <c r="IF85" s="88"/>
      <c r="IG85" s="88"/>
      <c r="IH85" s="88"/>
      <c r="II85" s="88"/>
      <c r="IJ85" s="88"/>
      <c r="IK85" s="88"/>
      <c r="IL85" s="88"/>
      <c r="IM85" s="88"/>
      <c r="IN85" s="88"/>
      <c r="IO85" s="88"/>
      <c r="IP85" s="88"/>
      <c r="IQ85" s="88"/>
      <c r="IR85" s="88"/>
      <c r="IS85" s="88"/>
      <c r="IT85" s="88"/>
      <c r="IU85" s="88"/>
      <c r="IV85" s="88"/>
      <c r="IW85" s="89"/>
      <c r="IX85" s="92"/>
      <c r="IY85" s="87"/>
      <c r="IZ85" s="88"/>
      <c r="JA85" s="88"/>
      <c r="JB85" s="88"/>
      <c r="JC85" s="88"/>
      <c r="JD85" s="88"/>
      <c r="JE85" s="88"/>
      <c r="JF85" s="88"/>
      <c r="JG85" s="88"/>
      <c r="JH85" s="88"/>
      <c r="JI85" s="88"/>
      <c r="JJ85" s="88"/>
      <c r="JK85" s="88"/>
      <c r="JL85" s="88"/>
      <c r="JM85" s="88"/>
      <c r="JN85" s="88"/>
      <c r="JO85" s="88"/>
      <c r="JP85" s="88"/>
      <c r="JQ85" s="88"/>
      <c r="JR85" s="88"/>
      <c r="JS85" s="88"/>
      <c r="JT85" s="88"/>
      <c r="JU85" s="88"/>
      <c r="JV85" s="88"/>
      <c r="JW85" s="88"/>
      <c r="JX85" s="88"/>
      <c r="JY85" s="88"/>
      <c r="JZ85" s="88"/>
      <c r="KA85" s="89"/>
      <c r="KB85" s="90"/>
      <c r="KC85" s="88"/>
      <c r="KD85" s="88"/>
      <c r="KE85" s="88"/>
      <c r="KF85" s="88"/>
      <c r="KG85" s="88"/>
    </row>
    <row r="86" customFormat="false" ht="22.5" hidden="false" customHeight="true" outlineLevel="1" collapsed="false">
      <c r="B86" s="75" t="s">
        <v>248</v>
      </c>
      <c r="C86" s="147" t="s">
        <v>249</v>
      </c>
      <c r="D86" s="127" t="s">
        <v>250</v>
      </c>
      <c r="E86" s="178" t="n">
        <v>2</v>
      </c>
      <c r="F86" s="179" t="n">
        <v>2</v>
      </c>
      <c r="G86" s="180" t="n">
        <f aca="false">E86-F86</f>
        <v>0</v>
      </c>
      <c r="H86" s="181" t="n">
        <v>3</v>
      </c>
      <c r="I86" s="182" t="n">
        <v>4.12</v>
      </c>
      <c r="J86" s="133" t="n">
        <v>46249</v>
      </c>
      <c r="K86" s="133" t="n">
        <v>46251</v>
      </c>
      <c r="L86" s="183" t="n">
        <f aca="false">K86-J86</f>
        <v>2</v>
      </c>
      <c r="M86" s="184" t="n">
        <f aca="false">IFERROR(F86/E86,"")</f>
        <v>1</v>
      </c>
      <c r="N86" s="87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9"/>
      <c r="AK86" s="90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9"/>
      <c r="BO86" s="90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91"/>
      <c r="CT86" s="90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92"/>
      <c r="DV86" s="87"/>
      <c r="DW86" s="88"/>
      <c r="DX86" s="88"/>
      <c r="DY86" s="88"/>
      <c r="DZ86" s="88"/>
      <c r="EA86" s="88"/>
      <c r="EB86" s="88"/>
      <c r="EC86" s="88"/>
      <c r="ED86" s="89"/>
      <c r="EE86" s="90"/>
      <c r="EF86" s="88"/>
      <c r="EG86" s="88"/>
      <c r="EH86" s="88"/>
      <c r="EI86" s="88"/>
      <c r="EJ86" s="88"/>
      <c r="EK86" s="88"/>
      <c r="EL86" s="88"/>
      <c r="EM86" s="88"/>
      <c r="EN86" s="88"/>
      <c r="EO86" s="88"/>
      <c r="EP86" s="88"/>
      <c r="EQ86" s="88"/>
      <c r="ER86" s="88"/>
      <c r="ES86" s="88"/>
      <c r="ET86" s="88"/>
      <c r="EU86" s="88"/>
      <c r="EV86" s="88"/>
      <c r="EW86" s="88"/>
      <c r="EX86" s="88"/>
      <c r="EY86" s="88"/>
      <c r="EZ86" s="88"/>
      <c r="FA86" s="88"/>
      <c r="FB86" s="88"/>
      <c r="FC86" s="88"/>
      <c r="FD86" s="88"/>
      <c r="FE86" s="88"/>
      <c r="FF86" s="88"/>
      <c r="FG86" s="88"/>
      <c r="FH86" s="88"/>
      <c r="FI86" s="89"/>
      <c r="FJ86" s="90"/>
      <c r="FK86" s="88"/>
      <c r="FL86" s="88"/>
      <c r="FM86" s="88"/>
      <c r="FN86" s="88"/>
      <c r="FO86" s="88"/>
      <c r="FP86" s="88"/>
      <c r="FQ86" s="88"/>
      <c r="FR86" s="88"/>
      <c r="FS86" s="88"/>
      <c r="FT86" s="88"/>
      <c r="FU86" s="88"/>
      <c r="FV86" s="88"/>
      <c r="FW86" s="88"/>
      <c r="FX86" s="88"/>
      <c r="FY86" s="88"/>
      <c r="FZ86" s="88"/>
      <c r="GA86" s="88"/>
      <c r="GB86" s="88"/>
      <c r="GC86" s="88"/>
      <c r="GD86" s="88"/>
      <c r="GE86" s="88"/>
      <c r="GF86" s="88"/>
      <c r="GG86" s="88"/>
      <c r="GH86" s="88"/>
      <c r="GI86" s="88"/>
      <c r="GJ86" s="88"/>
      <c r="GK86" s="88"/>
      <c r="GL86" s="88"/>
      <c r="GM86" s="88"/>
      <c r="GN86" s="89"/>
      <c r="GO86" s="90"/>
      <c r="GP86" s="88"/>
      <c r="GQ86" s="88"/>
      <c r="GR86" s="88"/>
      <c r="GS86" s="88"/>
      <c r="GT86" s="88"/>
      <c r="GU86" s="88"/>
      <c r="GV86" s="88"/>
      <c r="GW86" s="88"/>
      <c r="GX86" s="88"/>
      <c r="GY86" s="88"/>
      <c r="GZ86" s="88"/>
      <c r="HA86" s="88"/>
      <c r="HB86" s="88"/>
      <c r="HC86" s="88"/>
      <c r="HD86" s="88"/>
      <c r="HE86" s="88"/>
      <c r="HF86" s="88"/>
      <c r="HG86" s="88"/>
      <c r="HH86" s="88"/>
      <c r="HI86" s="88"/>
      <c r="HJ86" s="88"/>
      <c r="HK86" s="88"/>
      <c r="HL86" s="88"/>
      <c r="HM86" s="88"/>
      <c r="HN86" s="88"/>
      <c r="HO86" s="92"/>
      <c r="HP86" s="87"/>
      <c r="HQ86" s="88"/>
      <c r="HR86" s="89"/>
      <c r="HS86" s="90"/>
      <c r="HT86" s="88"/>
      <c r="HU86" s="88"/>
      <c r="HV86" s="88"/>
      <c r="HW86" s="88"/>
      <c r="HX86" s="88"/>
      <c r="HY86" s="88"/>
      <c r="HZ86" s="88"/>
      <c r="IA86" s="88"/>
      <c r="IB86" s="88"/>
      <c r="IC86" s="88"/>
      <c r="ID86" s="88"/>
      <c r="IE86" s="88"/>
      <c r="IF86" s="88"/>
      <c r="IG86" s="88"/>
      <c r="IH86" s="88"/>
      <c r="II86" s="88"/>
      <c r="IJ86" s="88"/>
      <c r="IK86" s="88"/>
      <c r="IL86" s="88"/>
      <c r="IM86" s="88"/>
      <c r="IN86" s="88"/>
      <c r="IO86" s="88"/>
      <c r="IP86" s="88"/>
      <c r="IQ86" s="88"/>
      <c r="IR86" s="88"/>
      <c r="IS86" s="88"/>
      <c r="IT86" s="88"/>
      <c r="IU86" s="88"/>
      <c r="IV86" s="88"/>
      <c r="IW86" s="89"/>
      <c r="IX86" s="92"/>
      <c r="IY86" s="87"/>
      <c r="IZ86" s="88"/>
      <c r="JA86" s="88"/>
      <c r="JB86" s="88"/>
      <c r="JC86" s="88"/>
      <c r="JD86" s="88"/>
      <c r="JE86" s="88"/>
      <c r="JF86" s="88"/>
      <c r="JG86" s="88"/>
      <c r="JH86" s="88"/>
      <c r="JI86" s="88"/>
      <c r="JJ86" s="88"/>
      <c r="JK86" s="88"/>
      <c r="JL86" s="88"/>
      <c r="JM86" s="88"/>
      <c r="JN86" s="88"/>
      <c r="JO86" s="88"/>
      <c r="JP86" s="88"/>
      <c r="JQ86" s="88"/>
      <c r="JR86" s="88"/>
      <c r="JS86" s="88"/>
      <c r="JT86" s="88"/>
      <c r="JU86" s="88"/>
      <c r="JV86" s="88"/>
      <c r="JW86" s="88"/>
      <c r="JX86" s="88"/>
      <c r="JY86" s="88"/>
      <c r="JZ86" s="88"/>
      <c r="KA86" s="89"/>
      <c r="KB86" s="90"/>
      <c r="KC86" s="88"/>
      <c r="KD86" s="88"/>
      <c r="KE86" s="88"/>
      <c r="KF86" s="88"/>
      <c r="KG86" s="88"/>
    </row>
    <row r="87" customFormat="false" ht="22.5" hidden="false" customHeight="true" outlineLevel="1" collapsed="false">
      <c r="B87" s="75" t="s">
        <v>251</v>
      </c>
      <c r="C87" s="147" t="s">
        <v>252</v>
      </c>
      <c r="D87" s="127" t="s">
        <v>253</v>
      </c>
      <c r="E87" s="178" t="n">
        <v>1</v>
      </c>
      <c r="F87" s="179" t="n">
        <v>1</v>
      </c>
      <c r="G87" s="180" t="n">
        <f aca="false">E87-F87</f>
        <v>0</v>
      </c>
      <c r="H87" s="181" t="n">
        <v>3</v>
      </c>
      <c r="I87" s="182" t="n">
        <v>4.12</v>
      </c>
      <c r="J87" s="133" t="n">
        <v>46252</v>
      </c>
      <c r="K87" s="133" t="n">
        <v>46253</v>
      </c>
      <c r="L87" s="183" t="n">
        <f aca="false">K87-J87</f>
        <v>1</v>
      </c>
      <c r="M87" s="184" t="n">
        <f aca="false">IFERROR(F87/E87,"")</f>
        <v>1</v>
      </c>
      <c r="N87" s="87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9"/>
      <c r="AK87" s="90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  <c r="BD87" s="88"/>
      <c r="BE87" s="88"/>
      <c r="BF87" s="88"/>
      <c r="BG87" s="88"/>
      <c r="BH87" s="88"/>
      <c r="BI87" s="88"/>
      <c r="BJ87" s="88"/>
      <c r="BK87" s="88"/>
      <c r="BL87" s="88"/>
      <c r="BM87" s="88"/>
      <c r="BN87" s="89"/>
      <c r="BO87" s="90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91"/>
      <c r="CT87" s="90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  <c r="DL87" s="88"/>
      <c r="DM87" s="88"/>
      <c r="DN87" s="88"/>
      <c r="DO87" s="88"/>
      <c r="DP87" s="88"/>
      <c r="DQ87" s="88"/>
      <c r="DR87" s="88"/>
      <c r="DS87" s="88"/>
      <c r="DT87" s="88"/>
      <c r="DU87" s="92"/>
      <c r="DV87" s="87"/>
      <c r="DW87" s="88"/>
      <c r="DX87" s="88"/>
      <c r="DY87" s="88"/>
      <c r="DZ87" s="88"/>
      <c r="EA87" s="88"/>
      <c r="EB87" s="88"/>
      <c r="EC87" s="88"/>
      <c r="ED87" s="89"/>
      <c r="EE87" s="90"/>
      <c r="EF87" s="88"/>
      <c r="EG87" s="88"/>
      <c r="EH87" s="88"/>
      <c r="EI87" s="88"/>
      <c r="EJ87" s="88"/>
      <c r="EK87" s="88"/>
      <c r="EL87" s="88"/>
      <c r="EM87" s="88"/>
      <c r="EN87" s="88"/>
      <c r="EO87" s="88"/>
      <c r="EP87" s="88"/>
      <c r="EQ87" s="88"/>
      <c r="ER87" s="88"/>
      <c r="ES87" s="88"/>
      <c r="ET87" s="88"/>
      <c r="EU87" s="88"/>
      <c r="EV87" s="88"/>
      <c r="EW87" s="88"/>
      <c r="EX87" s="88"/>
      <c r="EY87" s="88"/>
      <c r="EZ87" s="88"/>
      <c r="FA87" s="88"/>
      <c r="FB87" s="88"/>
      <c r="FC87" s="88"/>
      <c r="FD87" s="88"/>
      <c r="FE87" s="88"/>
      <c r="FF87" s="88"/>
      <c r="FG87" s="88"/>
      <c r="FH87" s="88"/>
      <c r="FI87" s="89"/>
      <c r="FJ87" s="90"/>
      <c r="FK87" s="88"/>
      <c r="FL87" s="88"/>
      <c r="FM87" s="88"/>
      <c r="FN87" s="88"/>
      <c r="FO87" s="88"/>
      <c r="FP87" s="88"/>
      <c r="FQ87" s="88"/>
      <c r="FR87" s="88"/>
      <c r="FS87" s="88"/>
      <c r="FT87" s="88"/>
      <c r="FU87" s="88"/>
      <c r="FV87" s="88"/>
      <c r="FW87" s="88"/>
      <c r="FX87" s="88"/>
      <c r="FY87" s="88"/>
      <c r="FZ87" s="88"/>
      <c r="GA87" s="88"/>
      <c r="GB87" s="88"/>
      <c r="GC87" s="88"/>
      <c r="GD87" s="88"/>
      <c r="GE87" s="88"/>
      <c r="GF87" s="88"/>
      <c r="GG87" s="88"/>
      <c r="GH87" s="88"/>
      <c r="GI87" s="88"/>
      <c r="GJ87" s="88"/>
      <c r="GK87" s="88"/>
      <c r="GL87" s="88"/>
      <c r="GM87" s="88"/>
      <c r="GN87" s="89"/>
      <c r="GO87" s="90"/>
      <c r="GP87" s="88"/>
      <c r="GQ87" s="88"/>
      <c r="GR87" s="88"/>
      <c r="GS87" s="88"/>
      <c r="GT87" s="88"/>
      <c r="GU87" s="88"/>
      <c r="GV87" s="88"/>
      <c r="GW87" s="88"/>
      <c r="GX87" s="88"/>
      <c r="GY87" s="88"/>
      <c r="GZ87" s="88"/>
      <c r="HA87" s="88"/>
      <c r="HB87" s="88"/>
      <c r="HC87" s="88"/>
      <c r="HD87" s="88"/>
      <c r="HE87" s="88"/>
      <c r="HF87" s="88"/>
      <c r="HG87" s="88"/>
      <c r="HH87" s="88"/>
      <c r="HI87" s="88"/>
      <c r="HJ87" s="88"/>
      <c r="HK87" s="88"/>
      <c r="HL87" s="88"/>
      <c r="HM87" s="88"/>
      <c r="HN87" s="88"/>
      <c r="HO87" s="92"/>
      <c r="HP87" s="87"/>
      <c r="HQ87" s="88"/>
      <c r="HR87" s="89"/>
      <c r="HS87" s="90"/>
      <c r="HT87" s="88"/>
      <c r="HU87" s="88"/>
      <c r="HV87" s="88"/>
      <c r="HW87" s="88"/>
      <c r="HX87" s="88"/>
      <c r="HY87" s="88"/>
      <c r="HZ87" s="88"/>
      <c r="IA87" s="88"/>
      <c r="IB87" s="88"/>
      <c r="IC87" s="88"/>
      <c r="ID87" s="88"/>
      <c r="IE87" s="88"/>
      <c r="IF87" s="88"/>
      <c r="IG87" s="88"/>
      <c r="IH87" s="88"/>
      <c r="II87" s="88"/>
      <c r="IJ87" s="88"/>
      <c r="IK87" s="88"/>
      <c r="IL87" s="88"/>
      <c r="IM87" s="88"/>
      <c r="IN87" s="88"/>
      <c r="IO87" s="88"/>
      <c r="IP87" s="88"/>
      <c r="IQ87" s="88"/>
      <c r="IR87" s="88"/>
      <c r="IS87" s="88"/>
      <c r="IT87" s="88"/>
      <c r="IU87" s="88"/>
      <c r="IV87" s="88"/>
      <c r="IW87" s="89"/>
      <c r="IX87" s="92"/>
      <c r="IY87" s="87"/>
      <c r="IZ87" s="88"/>
      <c r="JA87" s="88"/>
      <c r="JB87" s="88"/>
      <c r="JC87" s="88"/>
      <c r="JD87" s="88"/>
      <c r="JE87" s="88"/>
      <c r="JF87" s="88"/>
      <c r="JG87" s="88"/>
      <c r="JH87" s="88"/>
      <c r="JI87" s="88"/>
      <c r="JJ87" s="88"/>
      <c r="JK87" s="88"/>
      <c r="JL87" s="88"/>
      <c r="JM87" s="88"/>
      <c r="JN87" s="88"/>
      <c r="JO87" s="88"/>
      <c r="JP87" s="88"/>
      <c r="JQ87" s="88"/>
      <c r="JR87" s="88"/>
      <c r="JS87" s="88"/>
      <c r="JT87" s="88"/>
      <c r="JU87" s="88"/>
      <c r="JV87" s="88"/>
      <c r="JW87" s="88"/>
      <c r="JX87" s="88"/>
      <c r="JY87" s="88"/>
      <c r="JZ87" s="88"/>
      <c r="KA87" s="89"/>
      <c r="KB87" s="90"/>
      <c r="KC87" s="88"/>
      <c r="KD87" s="88"/>
      <c r="KE87" s="88"/>
      <c r="KF87" s="88"/>
      <c r="KG87" s="88"/>
    </row>
    <row r="88" customFormat="false" ht="22.5" hidden="false" customHeight="true" outlineLevel="1" collapsed="false">
      <c r="B88" s="75" t="s">
        <v>254</v>
      </c>
      <c r="C88" s="147" t="s">
        <v>255</v>
      </c>
      <c r="D88" s="127" t="s">
        <v>250</v>
      </c>
      <c r="E88" s="178" t="n">
        <v>1</v>
      </c>
      <c r="F88" s="179" t="n">
        <v>1</v>
      </c>
      <c r="G88" s="180" t="n">
        <f aca="false">E88-F88</f>
        <v>0</v>
      </c>
      <c r="H88" s="181" t="n">
        <v>3</v>
      </c>
      <c r="I88" s="182" t="n">
        <v>4.15</v>
      </c>
      <c r="J88" s="133" t="n">
        <v>46253</v>
      </c>
      <c r="K88" s="133" t="n">
        <v>46254</v>
      </c>
      <c r="L88" s="183" t="n">
        <f aca="false">K88-J88</f>
        <v>1</v>
      </c>
      <c r="M88" s="184" t="n">
        <f aca="false">IFERROR(F88/E88,"")</f>
        <v>1</v>
      </c>
      <c r="N88" s="87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9"/>
      <c r="AK88" s="90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  <c r="BD88" s="88"/>
      <c r="BE88" s="88"/>
      <c r="BF88" s="88"/>
      <c r="BG88" s="88"/>
      <c r="BH88" s="88"/>
      <c r="BI88" s="88"/>
      <c r="BJ88" s="88"/>
      <c r="BK88" s="88"/>
      <c r="BL88" s="88"/>
      <c r="BM88" s="88"/>
      <c r="BN88" s="89"/>
      <c r="BO88" s="90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91"/>
      <c r="CT88" s="90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  <c r="DL88" s="88"/>
      <c r="DM88" s="88"/>
      <c r="DN88" s="88"/>
      <c r="DO88" s="88"/>
      <c r="DP88" s="88"/>
      <c r="DQ88" s="88"/>
      <c r="DR88" s="88"/>
      <c r="DS88" s="88"/>
      <c r="DT88" s="88"/>
      <c r="DU88" s="92"/>
      <c r="DV88" s="87"/>
      <c r="DW88" s="88"/>
      <c r="DX88" s="88"/>
      <c r="DY88" s="88"/>
      <c r="DZ88" s="88"/>
      <c r="EA88" s="88"/>
      <c r="EB88" s="88"/>
      <c r="EC88" s="88"/>
      <c r="ED88" s="89"/>
      <c r="EE88" s="90"/>
      <c r="EF88" s="88"/>
      <c r="EG88" s="88"/>
      <c r="EH88" s="88"/>
      <c r="EI88" s="88"/>
      <c r="EJ88" s="88"/>
      <c r="EK88" s="88"/>
      <c r="EL88" s="88"/>
      <c r="EM88" s="88"/>
      <c r="EN88" s="88"/>
      <c r="EO88" s="88"/>
      <c r="EP88" s="88"/>
      <c r="EQ88" s="88"/>
      <c r="ER88" s="88"/>
      <c r="ES88" s="88"/>
      <c r="ET88" s="88"/>
      <c r="EU88" s="88"/>
      <c r="EV88" s="88"/>
      <c r="EW88" s="88"/>
      <c r="EX88" s="88"/>
      <c r="EY88" s="88"/>
      <c r="EZ88" s="88"/>
      <c r="FA88" s="88"/>
      <c r="FB88" s="88"/>
      <c r="FC88" s="88"/>
      <c r="FD88" s="88"/>
      <c r="FE88" s="88"/>
      <c r="FF88" s="88"/>
      <c r="FG88" s="88"/>
      <c r="FH88" s="88"/>
      <c r="FI88" s="89"/>
      <c r="FJ88" s="90"/>
      <c r="FK88" s="88"/>
      <c r="FL88" s="88"/>
      <c r="FM88" s="88"/>
      <c r="FN88" s="88"/>
      <c r="FO88" s="88"/>
      <c r="FP88" s="88"/>
      <c r="FQ88" s="88"/>
      <c r="FR88" s="88"/>
      <c r="FS88" s="88"/>
      <c r="FT88" s="88"/>
      <c r="FU88" s="88"/>
      <c r="FV88" s="88"/>
      <c r="FW88" s="88"/>
      <c r="FX88" s="88"/>
      <c r="FY88" s="88"/>
      <c r="FZ88" s="88"/>
      <c r="GA88" s="88"/>
      <c r="GB88" s="88"/>
      <c r="GC88" s="88"/>
      <c r="GD88" s="88"/>
      <c r="GE88" s="88"/>
      <c r="GF88" s="88"/>
      <c r="GG88" s="88"/>
      <c r="GH88" s="88"/>
      <c r="GI88" s="88"/>
      <c r="GJ88" s="88"/>
      <c r="GK88" s="88"/>
      <c r="GL88" s="88"/>
      <c r="GM88" s="88"/>
      <c r="GN88" s="89"/>
      <c r="GO88" s="90"/>
      <c r="GP88" s="88"/>
      <c r="GQ88" s="88"/>
      <c r="GR88" s="88"/>
      <c r="GS88" s="88"/>
      <c r="GT88" s="88"/>
      <c r="GU88" s="88"/>
      <c r="GV88" s="88"/>
      <c r="GW88" s="88"/>
      <c r="GX88" s="88"/>
      <c r="GY88" s="88"/>
      <c r="GZ88" s="88"/>
      <c r="HA88" s="88"/>
      <c r="HB88" s="88"/>
      <c r="HC88" s="88"/>
      <c r="HD88" s="88"/>
      <c r="HE88" s="88"/>
      <c r="HF88" s="88"/>
      <c r="HG88" s="88"/>
      <c r="HH88" s="88"/>
      <c r="HI88" s="88"/>
      <c r="HJ88" s="88"/>
      <c r="HK88" s="88"/>
      <c r="HL88" s="88"/>
      <c r="HM88" s="88"/>
      <c r="HN88" s="88"/>
      <c r="HO88" s="92"/>
      <c r="HP88" s="87"/>
      <c r="HQ88" s="88"/>
      <c r="HR88" s="89"/>
      <c r="HS88" s="90"/>
      <c r="HT88" s="88"/>
      <c r="HU88" s="88"/>
      <c r="HV88" s="88"/>
      <c r="HW88" s="88"/>
      <c r="HX88" s="88"/>
      <c r="HY88" s="88"/>
      <c r="HZ88" s="88"/>
      <c r="IA88" s="88"/>
      <c r="IB88" s="88"/>
      <c r="IC88" s="88"/>
      <c r="ID88" s="88"/>
      <c r="IE88" s="88"/>
      <c r="IF88" s="88"/>
      <c r="IG88" s="88"/>
      <c r="IH88" s="88"/>
      <c r="II88" s="88"/>
      <c r="IJ88" s="88"/>
      <c r="IK88" s="88"/>
      <c r="IL88" s="88"/>
      <c r="IM88" s="88"/>
      <c r="IN88" s="88"/>
      <c r="IO88" s="88"/>
      <c r="IP88" s="88"/>
      <c r="IQ88" s="88"/>
      <c r="IR88" s="88"/>
      <c r="IS88" s="88"/>
      <c r="IT88" s="88"/>
      <c r="IU88" s="88"/>
      <c r="IV88" s="88"/>
      <c r="IW88" s="89"/>
      <c r="IX88" s="92"/>
      <c r="IY88" s="87"/>
      <c r="IZ88" s="88"/>
      <c r="JA88" s="88"/>
      <c r="JB88" s="88"/>
      <c r="JC88" s="88"/>
      <c r="JD88" s="88"/>
      <c r="JE88" s="88"/>
      <c r="JF88" s="88"/>
      <c r="JG88" s="88"/>
      <c r="JH88" s="88"/>
      <c r="JI88" s="88"/>
      <c r="JJ88" s="88"/>
      <c r="JK88" s="88"/>
      <c r="JL88" s="88"/>
      <c r="JM88" s="88"/>
      <c r="JN88" s="88"/>
      <c r="JO88" s="88"/>
      <c r="JP88" s="88"/>
      <c r="JQ88" s="88"/>
      <c r="JR88" s="88"/>
      <c r="JS88" s="88"/>
      <c r="JT88" s="88"/>
      <c r="JU88" s="88"/>
      <c r="JV88" s="88"/>
      <c r="JW88" s="88"/>
      <c r="JX88" s="88"/>
      <c r="JY88" s="88"/>
      <c r="JZ88" s="88"/>
      <c r="KA88" s="89"/>
      <c r="KB88" s="90"/>
      <c r="KC88" s="88"/>
      <c r="KD88" s="88"/>
      <c r="KE88" s="88"/>
      <c r="KF88" s="88"/>
      <c r="KG88" s="88"/>
    </row>
    <row r="89" customFormat="false" ht="22.5" hidden="false" customHeight="true" outlineLevel="1" collapsed="false">
      <c r="B89" s="75" t="s">
        <v>256</v>
      </c>
      <c r="C89" s="147" t="s">
        <v>257</v>
      </c>
      <c r="D89" s="127" t="s">
        <v>258</v>
      </c>
      <c r="E89" s="178" t="n">
        <v>1</v>
      </c>
      <c r="F89" s="179" t="n">
        <v>1</v>
      </c>
      <c r="G89" s="180" t="n">
        <f aca="false">E89-F89</f>
        <v>0</v>
      </c>
      <c r="H89" s="181" t="n">
        <v>3</v>
      </c>
      <c r="I89" s="182" t="n">
        <v>4.16</v>
      </c>
      <c r="J89" s="133" t="n">
        <v>46255</v>
      </c>
      <c r="K89" s="133" t="n">
        <v>46255</v>
      </c>
      <c r="L89" s="183" t="n">
        <f aca="false">K89-J89</f>
        <v>0</v>
      </c>
      <c r="M89" s="184" t="n">
        <f aca="false">IFERROR(F89/E89,"")</f>
        <v>1</v>
      </c>
      <c r="N89" s="87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9"/>
      <c r="AK89" s="90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  <c r="BD89" s="88"/>
      <c r="BE89" s="88"/>
      <c r="BF89" s="88"/>
      <c r="BG89" s="88"/>
      <c r="BH89" s="88"/>
      <c r="BI89" s="88"/>
      <c r="BJ89" s="88"/>
      <c r="BK89" s="88"/>
      <c r="BL89" s="88"/>
      <c r="BM89" s="88"/>
      <c r="BN89" s="89"/>
      <c r="BO89" s="90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91"/>
      <c r="CT89" s="90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  <c r="DL89" s="88"/>
      <c r="DM89" s="88"/>
      <c r="DN89" s="88"/>
      <c r="DO89" s="88"/>
      <c r="DP89" s="88"/>
      <c r="DQ89" s="88"/>
      <c r="DR89" s="88"/>
      <c r="DS89" s="88"/>
      <c r="DT89" s="88"/>
      <c r="DU89" s="92"/>
      <c r="DV89" s="87"/>
      <c r="DW89" s="88"/>
      <c r="DX89" s="88"/>
      <c r="DY89" s="88"/>
      <c r="DZ89" s="88"/>
      <c r="EA89" s="88"/>
      <c r="EB89" s="88"/>
      <c r="EC89" s="88"/>
      <c r="ED89" s="89"/>
      <c r="EE89" s="90"/>
      <c r="EF89" s="88"/>
      <c r="EG89" s="88"/>
      <c r="EH89" s="88"/>
      <c r="EI89" s="88"/>
      <c r="EJ89" s="88"/>
      <c r="EK89" s="88"/>
      <c r="EL89" s="88"/>
      <c r="EM89" s="88"/>
      <c r="EN89" s="88"/>
      <c r="EO89" s="88"/>
      <c r="EP89" s="88"/>
      <c r="EQ89" s="88"/>
      <c r="ER89" s="88"/>
      <c r="ES89" s="88"/>
      <c r="ET89" s="88"/>
      <c r="EU89" s="88"/>
      <c r="EV89" s="88"/>
      <c r="EW89" s="88"/>
      <c r="EX89" s="88"/>
      <c r="EY89" s="88"/>
      <c r="EZ89" s="88"/>
      <c r="FA89" s="88"/>
      <c r="FB89" s="88"/>
      <c r="FC89" s="88"/>
      <c r="FD89" s="88"/>
      <c r="FE89" s="88"/>
      <c r="FF89" s="88"/>
      <c r="FG89" s="88"/>
      <c r="FH89" s="88"/>
      <c r="FI89" s="89"/>
      <c r="FJ89" s="90"/>
      <c r="FK89" s="88"/>
      <c r="FL89" s="88"/>
      <c r="FM89" s="88"/>
      <c r="FN89" s="88"/>
      <c r="FO89" s="88"/>
      <c r="FP89" s="88"/>
      <c r="FQ89" s="88"/>
      <c r="FR89" s="88"/>
      <c r="FS89" s="88"/>
      <c r="FT89" s="88"/>
      <c r="FU89" s="88"/>
      <c r="FV89" s="88"/>
      <c r="FW89" s="88"/>
      <c r="FX89" s="88"/>
      <c r="FY89" s="88"/>
      <c r="FZ89" s="88"/>
      <c r="GA89" s="88"/>
      <c r="GB89" s="88"/>
      <c r="GC89" s="88"/>
      <c r="GD89" s="88"/>
      <c r="GE89" s="88"/>
      <c r="GF89" s="88"/>
      <c r="GG89" s="88"/>
      <c r="GH89" s="88"/>
      <c r="GI89" s="88"/>
      <c r="GJ89" s="88"/>
      <c r="GK89" s="88"/>
      <c r="GL89" s="88"/>
      <c r="GM89" s="88"/>
      <c r="GN89" s="89"/>
      <c r="GO89" s="90"/>
      <c r="GP89" s="88"/>
      <c r="GQ89" s="88"/>
      <c r="GR89" s="88"/>
      <c r="GS89" s="88"/>
      <c r="GT89" s="88"/>
      <c r="GU89" s="88"/>
      <c r="GV89" s="88"/>
      <c r="GW89" s="88"/>
      <c r="GX89" s="88"/>
      <c r="GY89" s="88"/>
      <c r="GZ89" s="88"/>
      <c r="HA89" s="88"/>
      <c r="HB89" s="88"/>
      <c r="HC89" s="88"/>
      <c r="HD89" s="88"/>
      <c r="HE89" s="88"/>
      <c r="HF89" s="88"/>
      <c r="HG89" s="88"/>
      <c r="HH89" s="88"/>
      <c r="HI89" s="88"/>
      <c r="HJ89" s="88"/>
      <c r="HK89" s="88"/>
      <c r="HL89" s="88"/>
      <c r="HM89" s="88"/>
      <c r="HN89" s="88"/>
      <c r="HO89" s="92"/>
      <c r="HP89" s="87"/>
      <c r="HQ89" s="88"/>
      <c r="HR89" s="89"/>
      <c r="HS89" s="90"/>
      <c r="HT89" s="88"/>
      <c r="HU89" s="88"/>
      <c r="HV89" s="88"/>
      <c r="HW89" s="88"/>
      <c r="HX89" s="88"/>
      <c r="HY89" s="88"/>
      <c r="HZ89" s="88"/>
      <c r="IA89" s="88"/>
      <c r="IB89" s="88"/>
      <c r="IC89" s="88"/>
      <c r="ID89" s="88"/>
      <c r="IE89" s="88"/>
      <c r="IF89" s="88"/>
      <c r="IG89" s="88"/>
      <c r="IH89" s="88"/>
      <c r="II89" s="88"/>
      <c r="IJ89" s="88"/>
      <c r="IK89" s="88"/>
      <c r="IL89" s="88"/>
      <c r="IM89" s="88"/>
      <c r="IN89" s="88"/>
      <c r="IO89" s="88"/>
      <c r="IP89" s="88"/>
      <c r="IQ89" s="88"/>
      <c r="IR89" s="88"/>
      <c r="IS89" s="88"/>
      <c r="IT89" s="88"/>
      <c r="IU89" s="88"/>
      <c r="IV89" s="88"/>
      <c r="IW89" s="89"/>
      <c r="IX89" s="92"/>
      <c r="IY89" s="87"/>
      <c r="IZ89" s="88"/>
      <c r="JA89" s="88"/>
      <c r="JB89" s="88"/>
      <c r="JC89" s="88"/>
      <c r="JD89" s="88"/>
      <c r="JE89" s="88"/>
      <c r="JF89" s="88"/>
      <c r="JG89" s="88"/>
      <c r="JH89" s="88"/>
      <c r="JI89" s="88"/>
      <c r="JJ89" s="88"/>
      <c r="JK89" s="88"/>
      <c r="JL89" s="88"/>
      <c r="JM89" s="88"/>
      <c r="JN89" s="88"/>
      <c r="JO89" s="88"/>
      <c r="JP89" s="88"/>
      <c r="JQ89" s="88"/>
      <c r="JR89" s="88"/>
      <c r="JS89" s="88"/>
      <c r="JT89" s="88"/>
      <c r="JU89" s="88"/>
      <c r="JV89" s="88"/>
      <c r="JW89" s="88"/>
      <c r="JX89" s="88"/>
      <c r="JY89" s="88"/>
      <c r="JZ89" s="88"/>
      <c r="KA89" s="89"/>
      <c r="KB89" s="90"/>
      <c r="KC89" s="88"/>
      <c r="KD89" s="88"/>
      <c r="KE89" s="88"/>
      <c r="KF89" s="88"/>
      <c r="KG89" s="88"/>
    </row>
    <row r="90" customFormat="false" ht="22.5" hidden="false" customHeight="true" outlineLevel="1" collapsed="false">
      <c r="B90" s="75" t="s">
        <v>259</v>
      </c>
      <c r="C90" s="147" t="s">
        <v>260</v>
      </c>
      <c r="D90" s="127" t="s">
        <v>261</v>
      </c>
      <c r="E90" s="178" t="n">
        <v>2</v>
      </c>
      <c r="F90" s="179" t="n">
        <v>2</v>
      </c>
      <c r="G90" s="180" t="n">
        <f aca="false">E90-F90</f>
        <v>0</v>
      </c>
      <c r="H90" s="181" t="n">
        <v>4</v>
      </c>
      <c r="I90" s="182" t="n">
        <v>4.17</v>
      </c>
      <c r="J90" s="133" t="n">
        <v>46256</v>
      </c>
      <c r="K90" s="133" t="n">
        <v>46258</v>
      </c>
      <c r="L90" s="183" t="n">
        <f aca="false">K90-J90</f>
        <v>2</v>
      </c>
      <c r="M90" s="184" t="n">
        <f aca="false">IFERROR(F90/E90,"")</f>
        <v>1</v>
      </c>
      <c r="N90" s="87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9"/>
      <c r="AK90" s="90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8"/>
      <c r="BE90" s="88"/>
      <c r="BF90" s="88"/>
      <c r="BG90" s="88"/>
      <c r="BH90" s="88"/>
      <c r="BI90" s="88"/>
      <c r="BJ90" s="88"/>
      <c r="BK90" s="88"/>
      <c r="BL90" s="88"/>
      <c r="BM90" s="88"/>
      <c r="BN90" s="89"/>
      <c r="BO90" s="90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91"/>
      <c r="CT90" s="90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  <c r="DL90" s="88"/>
      <c r="DM90" s="88"/>
      <c r="DN90" s="88"/>
      <c r="DO90" s="88"/>
      <c r="DP90" s="88"/>
      <c r="DQ90" s="88"/>
      <c r="DR90" s="88"/>
      <c r="DS90" s="88"/>
      <c r="DT90" s="88"/>
      <c r="DU90" s="92"/>
      <c r="DV90" s="87"/>
      <c r="DW90" s="88"/>
      <c r="DX90" s="88"/>
      <c r="DY90" s="88"/>
      <c r="DZ90" s="88"/>
      <c r="EA90" s="88"/>
      <c r="EB90" s="88"/>
      <c r="EC90" s="88"/>
      <c r="ED90" s="89"/>
      <c r="EE90" s="90"/>
      <c r="EF90" s="88"/>
      <c r="EG90" s="88"/>
      <c r="EH90" s="88"/>
      <c r="EI90" s="88"/>
      <c r="EJ90" s="88"/>
      <c r="EK90" s="88"/>
      <c r="EL90" s="88"/>
      <c r="EM90" s="88"/>
      <c r="EN90" s="88"/>
      <c r="EO90" s="88"/>
      <c r="EP90" s="88"/>
      <c r="EQ90" s="88"/>
      <c r="ER90" s="88"/>
      <c r="ES90" s="88"/>
      <c r="ET90" s="88"/>
      <c r="EU90" s="88"/>
      <c r="EV90" s="88"/>
      <c r="EW90" s="88"/>
      <c r="EX90" s="88"/>
      <c r="EY90" s="88"/>
      <c r="EZ90" s="88"/>
      <c r="FA90" s="88"/>
      <c r="FB90" s="88"/>
      <c r="FC90" s="88"/>
      <c r="FD90" s="88"/>
      <c r="FE90" s="88"/>
      <c r="FF90" s="88"/>
      <c r="FG90" s="88"/>
      <c r="FH90" s="88"/>
      <c r="FI90" s="89"/>
      <c r="FJ90" s="90"/>
      <c r="FK90" s="88"/>
      <c r="FL90" s="88"/>
      <c r="FM90" s="88"/>
      <c r="FN90" s="88"/>
      <c r="FO90" s="88"/>
      <c r="FP90" s="88"/>
      <c r="FQ90" s="88"/>
      <c r="FR90" s="88"/>
      <c r="FS90" s="88"/>
      <c r="FT90" s="88"/>
      <c r="FU90" s="88"/>
      <c r="FV90" s="88"/>
      <c r="FW90" s="88"/>
      <c r="FX90" s="88"/>
      <c r="FY90" s="88"/>
      <c r="FZ90" s="88"/>
      <c r="GA90" s="88"/>
      <c r="GB90" s="88"/>
      <c r="GC90" s="88"/>
      <c r="GD90" s="88"/>
      <c r="GE90" s="88"/>
      <c r="GF90" s="88"/>
      <c r="GG90" s="88"/>
      <c r="GH90" s="88"/>
      <c r="GI90" s="88"/>
      <c r="GJ90" s="88"/>
      <c r="GK90" s="88"/>
      <c r="GL90" s="88"/>
      <c r="GM90" s="88"/>
      <c r="GN90" s="89"/>
      <c r="GO90" s="90"/>
      <c r="GP90" s="88"/>
      <c r="GQ90" s="88"/>
      <c r="GR90" s="88"/>
      <c r="GS90" s="88"/>
      <c r="GT90" s="88"/>
      <c r="GU90" s="88"/>
      <c r="GV90" s="88"/>
      <c r="GW90" s="88"/>
      <c r="GX90" s="88"/>
      <c r="GY90" s="88"/>
      <c r="GZ90" s="88"/>
      <c r="HA90" s="88"/>
      <c r="HB90" s="88"/>
      <c r="HC90" s="88"/>
      <c r="HD90" s="88"/>
      <c r="HE90" s="88"/>
      <c r="HF90" s="88"/>
      <c r="HG90" s="88"/>
      <c r="HH90" s="88"/>
      <c r="HI90" s="88"/>
      <c r="HJ90" s="88"/>
      <c r="HK90" s="88"/>
      <c r="HL90" s="88"/>
      <c r="HM90" s="88"/>
      <c r="HN90" s="88"/>
      <c r="HO90" s="92"/>
      <c r="HP90" s="87"/>
      <c r="HQ90" s="88"/>
      <c r="HR90" s="89"/>
      <c r="HS90" s="90"/>
      <c r="HT90" s="88"/>
      <c r="HU90" s="88"/>
      <c r="HV90" s="88"/>
      <c r="HW90" s="88"/>
      <c r="HX90" s="88"/>
      <c r="HY90" s="88"/>
      <c r="HZ90" s="88"/>
      <c r="IA90" s="88"/>
      <c r="IB90" s="88"/>
      <c r="IC90" s="88"/>
      <c r="ID90" s="88"/>
      <c r="IE90" s="88"/>
      <c r="IF90" s="88"/>
      <c r="IG90" s="88"/>
      <c r="IH90" s="88"/>
      <c r="II90" s="88"/>
      <c r="IJ90" s="88"/>
      <c r="IK90" s="88"/>
      <c r="IL90" s="88"/>
      <c r="IM90" s="88"/>
      <c r="IN90" s="88"/>
      <c r="IO90" s="88"/>
      <c r="IP90" s="88"/>
      <c r="IQ90" s="88"/>
      <c r="IR90" s="88"/>
      <c r="IS90" s="88"/>
      <c r="IT90" s="88"/>
      <c r="IU90" s="88"/>
      <c r="IV90" s="88"/>
      <c r="IW90" s="89"/>
      <c r="IX90" s="92"/>
      <c r="IY90" s="87"/>
      <c r="IZ90" s="88"/>
      <c r="JA90" s="88"/>
      <c r="JB90" s="88"/>
      <c r="JC90" s="88"/>
      <c r="JD90" s="88"/>
      <c r="JE90" s="88"/>
      <c r="JF90" s="88"/>
      <c r="JG90" s="88"/>
      <c r="JH90" s="88"/>
      <c r="JI90" s="88"/>
      <c r="JJ90" s="88"/>
      <c r="JK90" s="88"/>
      <c r="JL90" s="88"/>
      <c r="JM90" s="88"/>
      <c r="JN90" s="88"/>
      <c r="JO90" s="88"/>
      <c r="JP90" s="88"/>
      <c r="JQ90" s="88"/>
      <c r="JR90" s="88"/>
      <c r="JS90" s="88"/>
      <c r="JT90" s="88"/>
      <c r="JU90" s="88"/>
      <c r="JV90" s="88"/>
      <c r="JW90" s="88"/>
      <c r="JX90" s="88"/>
      <c r="JY90" s="88"/>
      <c r="JZ90" s="88"/>
      <c r="KA90" s="89"/>
      <c r="KB90" s="90"/>
      <c r="KC90" s="88"/>
      <c r="KD90" s="88"/>
      <c r="KE90" s="88"/>
      <c r="KF90" s="88"/>
      <c r="KG90" s="88"/>
    </row>
    <row r="91" customFormat="false" ht="22.5" hidden="false" customHeight="true" outlineLevel="1" collapsed="false">
      <c r="B91" s="75" t="s">
        <v>262</v>
      </c>
      <c r="C91" s="147" t="s">
        <v>263</v>
      </c>
      <c r="D91" s="127" t="s">
        <v>264</v>
      </c>
      <c r="E91" s="178" t="n">
        <v>2</v>
      </c>
      <c r="F91" s="179" t="n">
        <v>2</v>
      </c>
      <c r="G91" s="180" t="n">
        <f aca="false">E91-F91</f>
        <v>0</v>
      </c>
      <c r="H91" s="181" t="n">
        <v>4</v>
      </c>
      <c r="I91" s="182" t="n">
        <v>4.18</v>
      </c>
      <c r="J91" s="133" t="n">
        <v>46259</v>
      </c>
      <c r="K91" s="133" t="n">
        <v>46260</v>
      </c>
      <c r="L91" s="183" t="n">
        <f aca="false">K91-J91</f>
        <v>1</v>
      </c>
      <c r="M91" s="184" t="n">
        <f aca="false">IFERROR(F91/E91,"")</f>
        <v>1</v>
      </c>
      <c r="N91" s="87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9"/>
      <c r="AK91" s="90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8"/>
      <c r="BE91" s="88"/>
      <c r="BF91" s="88"/>
      <c r="BG91" s="88"/>
      <c r="BH91" s="88"/>
      <c r="BI91" s="88"/>
      <c r="BJ91" s="88"/>
      <c r="BK91" s="88"/>
      <c r="BL91" s="88"/>
      <c r="BM91" s="88"/>
      <c r="BN91" s="89"/>
      <c r="BO91" s="90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91"/>
      <c r="CT91" s="90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  <c r="DL91" s="88"/>
      <c r="DM91" s="88"/>
      <c r="DN91" s="88"/>
      <c r="DO91" s="88"/>
      <c r="DP91" s="88"/>
      <c r="DQ91" s="88"/>
      <c r="DR91" s="88"/>
      <c r="DS91" s="88"/>
      <c r="DT91" s="88"/>
      <c r="DU91" s="92"/>
      <c r="DV91" s="87"/>
      <c r="DW91" s="88"/>
      <c r="DX91" s="88"/>
      <c r="DY91" s="88"/>
      <c r="DZ91" s="88"/>
      <c r="EA91" s="88"/>
      <c r="EB91" s="88"/>
      <c r="EC91" s="88"/>
      <c r="ED91" s="89"/>
      <c r="EE91" s="90"/>
      <c r="EF91" s="88"/>
      <c r="EG91" s="88"/>
      <c r="EH91" s="88"/>
      <c r="EI91" s="88"/>
      <c r="EJ91" s="88"/>
      <c r="EK91" s="88"/>
      <c r="EL91" s="88"/>
      <c r="EM91" s="88"/>
      <c r="EN91" s="88"/>
      <c r="EO91" s="88"/>
      <c r="EP91" s="88"/>
      <c r="EQ91" s="88"/>
      <c r="ER91" s="88"/>
      <c r="ES91" s="88"/>
      <c r="ET91" s="88"/>
      <c r="EU91" s="88"/>
      <c r="EV91" s="88"/>
      <c r="EW91" s="88"/>
      <c r="EX91" s="88"/>
      <c r="EY91" s="88"/>
      <c r="EZ91" s="88"/>
      <c r="FA91" s="88"/>
      <c r="FB91" s="88"/>
      <c r="FC91" s="88"/>
      <c r="FD91" s="88"/>
      <c r="FE91" s="88"/>
      <c r="FF91" s="88"/>
      <c r="FG91" s="88"/>
      <c r="FH91" s="88"/>
      <c r="FI91" s="89"/>
      <c r="FJ91" s="90"/>
      <c r="FK91" s="88"/>
      <c r="FL91" s="88"/>
      <c r="FM91" s="88"/>
      <c r="FN91" s="88"/>
      <c r="FO91" s="88"/>
      <c r="FP91" s="88"/>
      <c r="FQ91" s="88"/>
      <c r="FR91" s="88"/>
      <c r="FS91" s="88"/>
      <c r="FT91" s="88"/>
      <c r="FU91" s="88"/>
      <c r="FV91" s="88"/>
      <c r="FW91" s="88"/>
      <c r="FX91" s="88"/>
      <c r="FY91" s="88"/>
      <c r="FZ91" s="88"/>
      <c r="GA91" s="88"/>
      <c r="GB91" s="88"/>
      <c r="GC91" s="88"/>
      <c r="GD91" s="88"/>
      <c r="GE91" s="88"/>
      <c r="GF91" s="88"/>
      <c r="GG91" s="88"/>
      <c r="GH91" s="88"/>
      <c r="GI91" s="88"/>
      <c r="GJ91" s="88"/>
      <c r="GK91" s="88"/>
      <c r="GL91" s="88"/>
      <c r="GM91" s="88"/>
      <c r="GN91" s="89"/>
      <c r="GO91" s="90"/>
      <c r="GP91" s="88"/>
      <c r="GQ91" s="88"/>
      <c r="GR91" s="88"/>
      <c r="GS91" s="88"/>
      <c r="GT91" s="88"/>
      <c r="GU91" s="88"/>
      <c r="GV91" s="88"/>
      <c r="GW91" s="88"/>
      <c r="GX91" s="88"/>
      <c r="GY91" s="88"/>
      <c r="GZ91" s="88"/>
      <c r="HA91" s="88"/>
      <c r="HB91" s="88"/>
      <c r="HC91" s="88"/>
      <c r="HD91" s="88"/>
      <c r="HE91" s="88"/>
      <c r="HF91" s="88"/>
      <c r="HG91" s="88"/>
      <c r="HH91" s="88"/>
      <c r="HI91" s="88"/>
      <c r="HJ91" s="88"/>
      <c r="HK91" s="88"/>
      <c r="HL91" s="88"/>
      <c r="HM91" s="88"/>
      <c r="HN91" s="88"/>
      <c r="HO91" s="92"/>
      <c r="HP91" s="87"/>
      <c r="HQ91" s="88"/>
      <c r="HR91" s="89"/>
      <c r="HS91" s="90"/>
      <c r="HT91" s="88"/>
      <c r="HU91" s="88"/>
      <c r="HV91" s="88"/>
      <c r="HW91" s="88"/>
      <c r="HX91" s="88"/>
      <c r="HY91" s="88"/>
      <c r="HZ91" s="88"/>
      <c r="IA91" s="88"/>
      <c r="IB91" s="88"/>
      <c r="IC91" s="88"/>
      <c r="ID91" s="88"/>
      <c r="IE91" s="88"/>
      <c r="IF91" s="88"/>
      <c r="IG91" s="88"/>
      <c r="IH91" s="88"/>
      <c r="II91" s="88"/>
      <c r="IJ91" s="88"/>
      <c r="IK91" s="88"/>
      <c r="IL91" s="88"/>
      <c r="IM91" s="88"/>
      <c r="IN91" s="88"/>
      <c r="IO91" s="88"/>
      <c r="IP91" s="88"/>
      <c r="IQ91" s="88"/>
      <c r="IR91" s="88"/>
      <c r="IS91" s="88"/>
      <c r="IT91" s="88"/>
      <c r="IU91" s="88"/>
      <c r="IV91" s="88"/>
      <c r="IW91" s="89"/>
      <c r="IX91" s="92"/>
      <c r="IY91" s="87"/>
      <c r="IZ91" s="88"/>
      <c r="JA91" s="88"/>
      <c r="JB91" s="88"/>
      <c r="JC91" s="88"/>
      <c r="JD91" s="88"/>
      <c r="JE91" s="88"/>
      <c r="JF91" s="88"/>
      <c r="JG91" s="88"/>
      <c r="JH91" s="88"/>
      <c r="JI91" s="88"/>
      <c r="JJ91" s="88"/>
      <c r="JK91" s="88"/>
      <c r="JL91" s="88"/>
      <c r="JM91" s="88"/>
      <c r="JN91" s="88"/>
      <c r="JO91" s="88"/>
      <c r="JP91" s="88"/>
      <c r="JQ91" s="88"/>
      <c r="JR91" s="88"/>
      <c r="JS91" s="88"/>
      <c r="JT91" s="88"/>
      <c r="JU91" s="88"/>
      <c r="JV91" s="88"/>
      <c r="JW91" s="88"/>
      <c r="JX91" s="88"/>
      <c r="JY91" s="88"/>
      <c r="JZ91" s="88"/>
      <c r="KA91" s="89"/>
      <c r="KB91" s="90"/>
      <c r="KC91" s="88"/>
      <c r="KD91" s="88"/>
      <c r="KE91" s="88"/>
      <c r="KF91" s="88"/>
      <c r="KG91" s="88"/>
    </row>
    <row r="92" customFormat="false" ht="22.5" hidden="false" customHeight="true" outlineLevel="1" collapsed="false">
      <c r="B92" s="75" t="s">
        <v>265</v>
      </c>
      <c r="C92" s="147" t="s">
        <v>266</v>
      </c>
      <c r="D92" s="127" t="s">
        <v>220</v>
      </c>
      <c r="E92" s="178" t="n">
        <v>2</v>
      </c>
      <c r="F92" s="179" t="n">
        <v>2</v>
      </c>
      <c r="G92" s="180" t="n">
        <f aca="false">E92-F92</f>
        <v>0</v>
      </c>
      <c r="H92" s="181" t="n">
        <v>4</v>
      </c>
      <c r="I92" s="182" t="n">
        <v>4.19</v>
      </c>
      <c r="J92" s="133" t="n">
        <v>46261</v>
      </c>
      <c r="K92" s="133" t="n">
        <v>46262</v>
      </c>
      <c r="L92" s="183" t="n">
        <f aca="false">K92-J92</f>
        <v>1</v>
      </c>
      <c r="M92" s="184" t="n">
        <f aca="false">IFERROR(F92/E92,"")</f>
        <v>1</v>
      </c>
      <c r="N92" s="87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9"/>
      <c r="AK92" s="90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  <c r="BD92" s="88"/>
      <c r="BE92" s="88"/>
      <c r="BF92" s="88"/>
      <c r="BG92" s="88"/>
      <c r="BH92" s="88"/>
      <c r="BI92" s="88"/>
      <c r="BJ92" s="88"/>
      <c r="BK92" s="88"/>
      <c r="BL92" s="88"/>
      <c r="BM92" s="88"/>
      <c r="BN92" s="89"/>
      <c r="BO92" s="90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91"/>
      <c r="CT92" s="90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  <c r="DL92" s="88"/>
      <c r="DM92" s="88"/>
      <c r="DN92" s="88"/>
      <c r="DO92" s="88"/>
      <c r="DP92" s="88"/>
      <c r="DQ92" s="88"/>
      <c r="DR92" s="88"/>
      <c r="DS92" s="88"/>
      <c r="DT92" s="88"/>
      <c r="DU92" s="92"/>
      <c r="DV92" s="87"/>
      <c r="DW92" s="88"/>
      <c r="DX92" s="88"/>
      <c r="DY92" s="88"/>
      <c r="DZ92" s="88"/>
      <c r="EA92" s="88"/>
      <c r="EB92" s="88"/>
      <c r="EC92" s="88"/>
      <c r="ED92" s="89"/>
      <c r="EE92" s="90"/>
      <c r="EF92" s="88"/>
      <c r="EG92" s="88"/>
      <c r="EH92" s="88"/>
      <c r="EI92" s="88"/>
      <c r="EJ92" s="88"/>
      <c r="EK92" s="88"/>
      <c r="EL92" s="88"/>
      <c r="EM92" s="88"/>
      <c r="EN92" s="88"/>
      <c r="EO92" s="88"/>
      <c r="EP92" s="88"/>
      <c r="EQ92" s="88"/>
      <c r="ER92" s="88"/>
      <c r="ES92" s="88"/>
      <c r="ET92" s="88"/>
      <c r="EU92" s="88"/>
      <c r="EV92" s="88"/>
      <c r="EW92" s="88"/>
      <c r="EX92" s="88"/>
      <c r="EY92" s="88"/>
      <c r="EZ92" s="88"/>
      <c r="FA92" s="88"/>
      <c r="FB92" s="88"/>
      <c r="FC92" s="88"/>
      <c r="FD92" s="88"/>
      <c r="FE92" s="88"/>
      <c r="FF92" s="88"/>
      <c r="FG92" s="88"/>
      <c r="FH92" s="88"/>
      <c r="FI92" s="89"/>
      <c r="FJ92" s="90"/>
      <c r="FK92" s="88"/>
      <c r="FL92" s="88"/>
      <c r="FM92" s="88"/>
      <c r="FN92" s="88"/>
      <c r="FO92" s="88"/>
      <c r="FP92" s="88"/>
      <c r="FQ92" s="88"/>
      <c r="FR92" s="88"/>
      <c r="FS92" s="88"/>
      <c r="FT92" s="88"/>
      <c r="FU92" s="88"/>
      <c r="FV92" s="88"/>
      <c r="FW92" s="88"/>
      <c r="FX92" s="88"/>
      <c r="FY92" s="88"/>
      <c r="FZ92" s="88"/>
      <c r="GA92" s="88"/>
      <c r="GB92" s="88"/>
      <c r="GC92" s="88"/>
      <c r="GD92" s="88"/>
      <c r="GE92" s="88"/>
      <c r="GF92" s="88"/>
      <c r="GG92" s="88"/>
      <c r="GH92" s="88"/>
      <c r="GI92" s="88"/>
      <c r="GJ92" s="88"/>
      <c r="GK92" s="88"/>
      <c r="GL92" s="88"/>
      <c r="GM92" s="88"/>
      <c r="GN92" s="89"/>
      <c r="GO92" s="90"/>
      <c r="GP92" s="88"/>
      <c r="GQ92" s="88"/>
      <c r="GR92" s="88"/>
      <c r="GS92" s="88"/>
      <c r="GT92" s="88"/>
      <c r="GU92" s="88"/>
      <c r="GV92" s="88"/>
      <c r="GW92" s="88"/>
      <c r="GX92" s="88"/>
      <c r="GY92" s="88"/>
      <c r="GZ92" s="88"/>
      <c r="HA92" s="88"/>
      <c r="HB92" s="88"/>
      <c r="HC92" s="88"/>
      <c r="HD92" s="88"/>
      <c r="HE92" s="88"/>
      <c r="HF92" s="88"/>
      <c r="HG92" s="88"/>
      <c r="HH92" s="88"/>
      <c r="HI92" s="88"/>
      <c r="HJ92" s="88"/>
      <c r="HK92" s="88"/>
      <c r="HL92" s="88"/>
      <c r="HM92" s="88"/>
      <c r="HN92" s="88"/>
      <c r="HO92" s="92"/>
      <c r="HP92" s="87"/>
      <c r="HQ92" s="88"/>
      <c r="HR92" s="89"/>
      <c r="HS92" s="90"/>
      <c r="HT92" s="88"/>
      <c r="HU92" s="88"/>
      <c r="HV92" s="88"/>
      <c r="HW92" s="88"/>
      <c r="HX92" s="88"/>
      <c r="HY92" s="88"/>
      <c r="HZ92" s="88"/>
      <c r="IA92" s="88"/>
      <c r="IB92" s="88"/>
      <c r="IC92" s="88"/>
      <c r="ID92" s="88"/>
      <c r="IE92" s="88"/>
      <c r="IF92" s="88"/>
      <c r="IG92" s="88"/>
      <c r="IH92" s="88"/>
      <c r="II92" s="88"/>
      <c r="IJ92" s="88"/>
      <c r="IK92" s="88"/>
      <c r="IL92" s="88"/>
      <c r="IM92" s="88"/>
      <c r="IN92" s="88"/>
      <c r="IO92" s="88"/>
      <c r="IP92" s="88"/>
      <c r="IQ92" s="88"/>
      <c r="IR92" s="88"/>
      <c r="IS92" s="88"/>
      <c r="IT92" s="88"/>
      <c r="IU92" s="88"/>
      <c r="IV92" s="88"/>
      <c r="IW92" s="89"/>
      <c r="IX92" s="92"/>
      <c r="IY92" s="87"/>
      <c r="IZ92" s="88"/>
      <c r="JA92" s="88"/>
      <c r="JB92" s="88"/>
      <c r="JC92" s="88"/>
      <c r="JD92" s="88"/>
      <c r="JE92" s="88"/>
      <c r="JF92" s="88"/>
      <c r="JG92" s="88"/>
      <c r="JH92" s="88"/>
      <c r="JI92" s="88"/>
      <c r="JJ92" s="88"/>
      <c r="JK92" s="88"/>
      <c r="JL92" s="88"/>
      <c r="JM92" s="88"/>
      <c r="JN92" s="88"/>
      <c r="JO92" s="88"/>
      <c r="JP92" s="88"/>
      <c r="JQ92" s="88"/>
      <c r="JR92" s="88"/>
      <c r="JS92" s="88"/>
      <c r="JT92" s="88"/>
      <c r="JU92" s="88"/>
      <c r="JV92" s="88"/>
      <c r="JW92" s="88"/>
      <c r="JX92" s="88"/>
      <c r="JY92" s="88"/>
      <c r="JZ92" s="88"/>
      <c r="KA92" s="89"/>
      <c r="KB92" s="90"/>
      <c r="KC92" s="88"/>
      <c r="KD92" s="88"/>
      <c r="KE92" s="88"/>
      <c r="KF92" s="88"/>
      <c r="KG92" s="88"/>
    </row>
    <row r="93" customFormat="false" ht="22.5" hidden="false" customHeight="true" outlineLevel="1" collapsed="false">
      <c r="B93" s="75" t="s">
        <v>267</v>
      </c>
      <c r="C93" s="147" t="s">
        <v>268</v>
      </c>
      <c r="D93" s="127" t="s">
        <v>237</v>
      </c>
      <c r="E93" s="178" t="n">
        <v>2</v>
      </c>
      <c r="F93" s="179" t="n">
        <v>2</v>
      </c>
      <c r="G93" s="180" t="n">
        <f aca="false">E93-F93</f>
        <v>0</v>
      </c>
      <c r="H93" s="181" t="n">
        <v>5</v>
      </c>
      <c r="I93" s="182" t="n">
        <v>4.5</v>
      </c>
      <c r="J93" s="133" t="n">
        <v>46263</v>
      </c>
      <c r="K93" s="133" t="n">
        <v>46267</v>
      </c>
      <c r="L93" s="183" t="n">
        <f aca="false">K93-J93</f>
        <v>4</v>
      </c>
      <c r="M93" s="184" t="n">
        <f aca="false">IFERROR(F93/E93,"")</f>
        <v>1</v>
      </c>
      <c r="N93" s="87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9"/>
      <c r="AK93" s="90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  <c r="BH93" s="88"/>
      <c r="BI93" s="88"/>
      <c r="BJ93" s="88"/>
      <c r="BK93" s="88"/>
      <c r="BL93" s="88"/>
      <c r="BM93" s="88"/>
      <c r="BN93" s="89"/>
      <c r="BO93" s="90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91"/>
      <c r="CT93" s="90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  <c r="DL93" s="88"/>
      <c r="DM93" s="88"/>
      <c r="DN93" s="88"/>
      <c r="DO93" s="88"/>
      <c r="DP93" s="88"/>
      <c r="DQ93" s="88"/>
      <c r="DR93" s="88"/>
      <c r="DS93" s="88"/>
      <c r="DT93" s="88"/>
      <c r="DU93" s="92"/>
      <c r="DV93" s="87"/>
      <c r="DW93" s="88"/>
      <c r="DX93" s="88"/>
      <c r="DY93" s="88"/>
      <c r="DZ93" s="88"/>
      <c r="EA93" s="88"/>
      <c r="EB93" s="88"/>
      <c r="EC93" s="88"/>
      <c r="ED93" s="89"/>
      <c r="EE93" s="90"/>
      <c r="EF93" s="88"/>
      <c r="EG93" s="88"/>
      <c r="EH93" s="88"/>
      <c r="EI93" s="88"/>
      <c r="EJ93" s="88"/>
      <c r="EK93" s="88"/>
      <c r="EL93" s="88"/>
      <c r="EM93" s="88"/>
      <c r="EN93" s="88"/>
      <c r="EO93" s="88"/>
      <c r="EP93" s="88"/>
      <c r="EQ93" s="88"/>
      <c r="ER93" s="88"/>
      <c r="ES93" s="88"/>
      <c r="ET93" s="88"/>
      <c r="EU93" s="88"/>
      <c r="EV93" s="88"/>
      <c r="EW93" s="88"/>
      <c r="EX93" s="88"/>
      <c r="EY93" s="88"/>
      <c r="EZ93" s="88"/>
      <c r="FA93" s="88"/>
      <c r="FB93" s="88"/>
      <c r="FC93" s="88"/>
      <c r="FD93" s="88"/>
      <c r="FE93" s="88"/>
      <c r="FF93" s="88"/>
      <c r="FG93" s="88"/>
      <c r="FH93" s="88"/>
      <c r="FI93" s="89"/>
      <c r="FJ93" s="90"/>
      <c r="FK93" s="88"/>
      <c r="FL93" s="88"/>
      <c r="FM93" s="88"/>
      <c r="FN93" s="88"/>
      <c r="FO93" s="88"/>
      <c r="FP93" s="88"/>
      <c r="FQ93" s="88"/>
      <c r="FR93" s="88"/>
      <c r="FS93" s="88"/>
      <c r="FT93" s="88"/>
      <c r="FU93" s="88"/>
      <c r="FV93" s="88"/>
      <c r="FW93" s="88"/>
      <c r="FX93" s="88"/>
      <c r="FY93" s="88"/>
      <c r="FZ93" s="88"/>
      <c r="GA93" s="88"/>
      <c r="GB93" s="88"/>
      <c r="GC93" s="88"/>
      <c r="GD93" s="88"/>
      <c r="GE93" s="88"/>
      <c r="GF93" s="88"/>
      <c r="GG93" s="88"/>
      <c r="GH93" s="88"/>
      <c r="GI93" s="88"/>
      <c r="GJ93" s="88"/>
      <c r="GK93" s="88"/>
      <c r="GL93" s="88"/>
      <c r="GM93" s="88"/>
      <c r="GN93" s="89"/>
      <c r="GO93" s="90"/>
      <c r="GP93" s="88"/>
      <c r="GQ93" s="88"/>
      <c r="GR93" s="88"/>
      <c r="GS93" s="88"/>
      <c r="GT93" s="88"/>
      <c r="GU93" s="88"/>
      <c r="GV93" s="88"/>
      <c r="GW93" s="88"/>
      <c r="GX93" s="88"/>
      <c r="GY93" s="88"/>
      <c r="GZ93" s="88"/>
      <c r="HA93" s="88"/>
      <c r="HB93" s="88"/>
      <c r="HC93" s="88"/>
      <c r="HD93" s="88"/>
      <c r="HE93" s="88"/>
      <c r="HF93" s="88"/>
      <c r="HG93" s="88"/>
      <c r="HH93" s="88"/>
      <c r="HI93" s="88"/>
      <c r="HJ93" s="88"/>
      <c r="HK93" s="88"/>
      <c r="HL93" s="88"/>
      <c r="HM93" s="88"/>
      <c r="HN93" s="88"/>
      <c r="HO93" s="92"/>
      <c r="HP93" s="87"/>
      <c r="HQ93" s="88"/>
      <c r="HR93" s="89"/>
      <c r="HS93" s="90"/>
      <c r="HT93" s="88"/>
      <c r="HU93" s="88"/>
      <c r="HV93" s="88"/>
      <c r="HW93" s="88"/>
      <c r="HX93" s="88"/>
      <c r="HY93" s="88"/>
      <c r="HZ93" s="88"/>
      <c r="IA93" s="88"/>
      <c r="IB93" s="88"/>
      <c r="IC93" s="88"/>
      <c r="ID93" s="88"/>
      <c r="IE93" s="88"/>
      <c r="IF93" s="88"/>
      <c r="IG93" s="88"/>
      <c r="IH93" s="88"/>
      <c r="II93" s="88"/>
      <c r="IJ93" s="88"/>
      <c r="IK93" s="88"/>
      <c r="IL93" s="88"/>
      <c r="IM93" s="88"/>
      <c r="IN93" s="88"/>
      <c r="IO93" s="88"/>
      <c r="IP93" s="88"/>
      <c r="IQ93" s="88"/>
      <c r="IR93" s="88"/>
      <c r="IS93" s="88"/>
      <c r="IT93" s="88"/>
      <c r="IU93" s="88"/>
      <c r="IV93" s="88"/>
      <c r="IW93" s="89"/>
      <c r="IX93" s="92"/>
      <c r="IY93" s="87"/>
      <c r="IZ93" s="88"/>
      <c r="JA93" s="88"/>
      <c r="JB93" s="88"/>
      <c r="JC93" s="88"/>
      <c r="JD93" s="88"/>
      <c r="JE93" s="88"/>
      <c r="JF93" s="88"/>
      <c r="JG93" s="88"/>
      <c r="JH93" s="88"/>
      <c r="JI93" s="88"/>
      <c r="JJ93" s="88"/>
      <c r="JK93" s="88"/>
      <c r="JL93" s="88"/>
      <c r="JM93" s="88"/>
      <c r="JN93" s="88"/>
      <c r="JO93" s="88"/>
      <c r="JP93" s="88"/>
      <c r="JQ93" s="88"/>
      <c r="JR93" s="88"/>
      <c r="JS93" s="88"/>
      <c r="JT93" s="88"/>
      <c r="JU93" s="88"/>
      <c r="JV93" s="88"/>
      <c r="JW93" s="88"/>
      <c r="JX93" s="88"/>
      <c r="JY93" s="88"/>
      <c r="JZ93" s="88"/>
      <c r="KA93" s="89"/>
      <c r="KB93" s="90"/>
      <c r="KC93" s="88"/>
      <c r="KD93" s="88"/>
      <c r="KE93" s="88"/>
      <c r="KF93" s="88"/>
      <c r="KG93" s="88"/>
    </row>
    <row r="94" customFormat="false" ht="22.5" hidden="false" customHeight="true" outlineLevel="1" collapsed="false">
      <c r="B94" s="75" t="s">
        <v>269</v>
      </c>
      <c r="C94" s="147" t="s">
        <v>270</v>
      </c>
      <c r="D94" s="127" t="s">
        <v>223</v>
      </c>
      <c r="E94" s="178" t="n">
        <v>3</v>
      </c>
      <c r="F94" s="179" t="n">
        <v>0</v>
      </c>
      <c r="G94" s="180" t="n">
        <f aca="false">E94-F94</f>
        <v>3</v>
      </c>
      <c r="H94" s="181" t="n">
        <v>5</v>
      </c>
      <c r="I94" s="185" t="n">
        <v>4.21</v>
      </c>
      <c r="J94" s="133" t="n">
        <v>46268</v>
      </c>
      <c r="K94" s="133" t="n">
        <v>46270</v>
      </c>
      <c r="L94" s="183" t="n">
        <f aca="false">K94-J94</f>
        <v>2</v>
      </c>
      <c r="M94" s="184" t="n">
        <f aca="false">IFERROR(F94/E94,"")</f>
        <v>0</v>
      </c>
      <c r="N94" s="87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9"/>
      <c r="AK94" s="90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9"/>
      <c r="BO94" s="90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91"/>
      <c r="CT94" s="90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92"/>
      <c r="DV94" s="87"/>
      <c r="DW94" s="88"/>
      <c r="DX94" s="88"/>
      <c r="DY94" s="88"/>
      <c r="DZ94" s="88"/>
      <c r="EA94" s="88"/>
      <c r="EB94" s="88"/>
      <c r="EC94" s="88"/>
      <c r="ED94" s="89"/>
      <c r="EE94" s="90"/>
      <c r="EF94" s="88"/>
      <c r="EG94" s="88"/>
      <c r="EH94" s="88"/>
      <c r="EI94" s="88"/>
      <c r="EJ94" s="88"/>
      <c r="EK94" s="88"/>
      <c r="EL94" s="88"/>
      <c r="EM94" s="88"/>
      <c r="EN94" s="88"/>
      <c r="EO94" s="88"/>
      <c r="EP94" s="88"/>
      <c r="EQ94" s="88"/>
      <c r="ER94" s="88"/>
      <c r="ES94" s="88"/>
      <c r="ET94" s="88"/>
      <c r="EU94" s="88"/>
      <c r="EV94" s="88"/>
      <c r="EW94" s="88"/>
      <c r="EX94" s="88"/>
      <c r="EY94" s="88"/>
      <c r="EZ94" s="88"/>
      <c r="FA94" s="88"/>
      <c r="FB94" s="88"/>
      <c r="FC94" s="88"/>
      <c r="FD94" s="88"/>
      <c r="FE94" s="88"/>
      <c r="FF94" s="88"/>
      <c r="FG94" s="88"/>
      <c r="FH94" s="88"/>
      <c r="FI94" s="89"/>
      <c r="FJ94" s="90"/>
      <c r="FK94" s="88"/>
      <c r="FL94" s="88"/>
      <c r="FM94" s="88"/>
      <c r="FN94" s="88"/>
      <c r="FO94" s="88"/>
      <c r="FP94" s="88"/>
      <c r="FQ94" s="88"/>
      <c r="FR94" s="88"/>
      <c r="FS94" s="88"/>
      <c r="FT94" s="88"/>
      <c r="FU94" s="88"/>
      <c r="FV94" s="88"/>
      <c r="FW94" s="88"/>
      <c r="FX94" s="88"/>
      <c r="FY94" s="88"/>
      <c r="FZ94" s="88"/>
      <c r="GA94" s="88"/>
      <c r="GB94" s="88"/>
      <c r="GC94" s="88"/>
      <c r="GD94" s="88"/>
      <c r="GE94" s="88"/>
      <c r="GF94" s="88"/>
      <c r="GG94" s="88"/>
      <c r="GH94" s="88"/>
      <c r="GI94" s="88"/>
      <c r="GJ94" s="88"/>
      <c r="GK94" s="88"/>
      <c r="GL94" s="88"/>
      <c r="GM94" s="88"/>
      <c r="GN94" s="89"/>
      <c r="GO94" s="90"/>
      <c r="GP94" s="88"/>
      <c r="GQ94" s="88"/>
      <c r="GR94" s="88"/>
      <c r="GS94" s="88"/>
      <c r="GT94" s="88"/>
      <c r="GU94" s="88"/>
      <c r="GV94" s="88"/>
      <c r="GW94" s="88"/>
      <c r="GX94" s="88"/>
      <c r="GY94" s="88"/>
      <c r="GZ94" s="88"/>
      <c r="HA94" s="88"/>
      <c r="HB94" s="88"/>
      <c r="HC94" s="88"/>
      <c r="HD94" s="88"/>
      <c r="HE94" s="88"/>
      <c r="HF94" s="88"/>
      <c r="HG94" s="88"/>
      <c r="HH94" s="88"/>
      <c r="HI94" s="88"/>
      <c r="HJ94" s="88"/>
      <c r="HK94" s="88"/>
      <c r="HL94" s="88"/>
      <c r="HM94" s="88"/>
      <c r="HN94" s="88"/>
      <c r="HO94" s="92"/>
      <c r="HP94" s="87"/>
      <c r="HQ94" s="88"/>
      <c r="HR94" s="89"/>
      <c r="HS94" s="90"/>
      <c r="HT94" s="88"/>
      <c r="HU94" s="88"/>
      <c r="HV94" s="88"/>
      <c r="HW94" s="88"/>
      <c r="HX94" s="88"/>
      <c r="HY94" s="88"/>
      <c r="HZ94" s="88"/>
      <c r="IA94" s="88"/>
      <c r="IB94" s="88"/>
      <c r="IC94" s="88"/>
      <c r="ID94" s="88"/>
      <c r="IE94" s="88"/>
      <c r="IF94" s="88"/>
      <c r="IG94" s="88"/>
      <c r="IH94" s="88"/>
      <c r="II94" s="88"/>
      <c r="IJ94" s="88"/>
      <c r="IK94" s="88"/>
      <c r="IL94" s="88"/>
      <c r="IM94" s="88"/>
      <c r="IN94" s="88"/>
      <c r="IO94" s="88"/>
      <c r="IP94" s="88"/>
      <c r="IQ94" s="88"/>
      <c r="IR94" s="88"/>
      <c r="IS94" s="88"/>
      <c r="IT94" s="88"/>
      <c r="IU94" s="88"/>
      <c r="IV94" s="88"/>
      <c r="IW94" s="89"/>
      <c r="IX94" s="92"/>
      <c r="IY94" s="87"/>
      <c r="IZ94" s="88"/>
      <c r="JA94" s="88"/>
      <c r="JB94" s="88"/>
      <c r="JC94" s="88"/>
      <c r="JD94" s="88"/>
      <c r="JE94" s="88"/>
      <c r="JF94" s="88"/>
      <c r="JG94" s="88"/>
      <c r="JH94" s="88"/>
      <c r="JI94" s="88"/>
      <c r="JJ94" s="88"/>
      <c r="JK94" s="88"/>
      <c r="JL94" s="88"/>
      <c r="JM94" s="88"/>
      <c r="JN94" s="88"/>
      <c r="JO94" s="88"/>
      <c r="JP94" s="88"/>
      <c r="JQ94" s="88"/>
      <c r="JR94" s="88"/>
      <c r="JS94" s="88"/>
      <c r="JT94" s="88"/>
      <c r="JU94" s="88"/>
      <c r="JV94" s="88"/>
      <c r="JW94" s="88"/>
      <c r="JX94" s="88"/>
      <c r="JY94" s="88"/>
      <c r="JZ94" s="88"/>
      <c r="KA94" s="89"/>
      <c r="KB94" s="90"/>
      <c r="KC94" s="88"/>
      <c r="KD94" s="88"/>
      <c r="KE94" s="88"/>
      <c r="KF94" s="88"/>
      <c r="KG94" s="88"/>
    </row>
    <row r="95" customFormat="false" ht="22.5" hidden="false" customHeight="true" outlineLevel="1" collapsed="false">
      <c r="B95" s="75" t="s">
        <v>271</v>
      </c>
      <c r="C95" s="147" t="s">
        <v>272</v>
      </c>
      <c r="D95" s="127" t="s">
        <v>261</v>
      </c>
      <c r="E95" s="178" t="n">
        <v>2</v>
      </c>
      <c r="F95" s="179" t="n">
        <v>0</v>
      </c>
      <c r="G95" s="180" t="n">
        <f aca="false">E95-F95</f>
        <v>2</v>
      </c>
      <c r="H95" s="181" t="n">
        <v>5</v>
      </c>
      <c r="I95" s="185" t="n">
        <v>4.22</v>
      </c>
      <c r="J95" s="133" t="n">
        <v>46272</v>
      </c>
      <c r="K95" s="133" t="n">
        <v>46273</v>
      </c>
      <c r="L95" s="183" t="n">
        <f aca="false">K95-J95</f>
        <v>1</v>
      </c>
      <c r="M95" s="184" t="n">
        <f aca="false">IFERROR(F95/E95,"")</f>
        <v>0</v>
      </c>
      <c r="N95" s="87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9"/>
      <c r="AK95" s="90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  <c r="BH95" s="88"/>
      <c r="BI95" s="88"/>
      <c r="BJ95" s="88"/>
      <c r="BK95" s="88"/>
      <c r="BL95" s="88"/>
      <c r="BM95" s="88"/>
      <c r="BN95" s="89"/>
      <c r="BO95" s="90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91"/>
      <c r="CT95" s="90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  <c r="DL95" s="88"/>
      <c r="DM95" s="88"/>
      <c r="DN95" s="88"/>
      <c r="DO95" s="88"/>
      <c r="DP95" s="88"/>
      <c r="DQ95" s="88"/>
      <c r="DR95" s="88"/>
      <c r="DS95" s="88"/>
      <c r="DT95" s="88"/>
      <c r="DU95" s="92"/>
      <c r="DV95" s="87"/>
      <c r="DW95" s="88"/>
      <c r="DX95" s="88"/>
      <c r="DY95" s="88"/>
      <c r="DZ95" s="88"/>
      <c r="EA95" s="88"/>
      <c r="EB95" s="88"/>
      <c r="EC95" s="88"/>
      <c r="ED95" s="89"/>
      <c r="EE95" s="90"/>
      <c r="EF95" s="88"/>
      <c r="EG95" s="88"/>
      <c r="EH95" s="88"/>
      <c r="EI95" s="88"/>
      <c r="EJ95" s="88"/>
      <c r="EK95" s="88"/>
      <c r="EL95" s="88"/>
      <c r="EM95" s="88"/>
      <c r="EN95" s="88"/>
      <c r="EO95" s="88"/>
      <c r="EP95" s="88"/>
      <c r="EQ95" s="88"/>
      <c r="ER95" s="88"/>
      <c r="ES95" s="88"/>
      <c r="ET95" s="88"/>
      <c r="EU95" s="88"/>
      <c r="EV95" s="88"/>
      <c r="EW95" s="88"/>
      <c r="EX95" s="88"/>
      <c r="EY95" s="88"/>
      <c r="EZ95" s="88"/>
      <c r="FA95" s="88"/>
      <c r="FB95" s="88"/>
      <c r="FC95" s="88"/>
      <c r="FD95" s="88"/>
      <c r="FE95" s="88"/>
      <c r="FF95" s="88"/>
      <c r="FG95" s="88"/>
      <c r="FH95" s="88"/>
      <c r="FI95" s="89"/>
      <c r="FJ95" s="90"/>
      <c r="FK95" s="88"/>
      <c r="FL95" s="88"/>
      <c r="FM95" s="88"/>
      <c r="FN95" s="88"/>
      <c r="FO95" s="88"/>
      <c r="FP95" s="88"/>
      <c r="FQ95" s="88"/>
      <c r="FR95" s="88"/>
      <c r="FS95" s="88"/>
      <c r="FT95" s="88"/>
      <c r="FU95" s="88"/>
      <c r="FV95" s="88"/>
      <c r="FW95" s="88"/>
      <c r="FX95" s="88"/>
      <c r="FY95" s="88"/>
      <c r="FZ95" s="88"/>
      <c r="GA95" s="88"/>
      <c r="GB95" s="88"/>
      <c r="GC95" s="88"/>
      <c r="GD95" s="88"/>
      <c r="GE95" s="88"/>
      <c r="GF95" s="88"/>
      <c r="GG95" s="88"/>
      <c r="GH95" s="88"/>
      <c r="GI95" s="88"/>
      <c r="GJ95" s="88"/>
      <c r="GK95" s="88"/>
      <c r="GL95" s="88"/>
      <c r="GM95" s="88"/>
      <c r="GN95" s="89"/>
      <c r="GO95" s="90"/>
      <c r="GP95" s="88"/>
      <c r="GQ95" s="88"/>
      <c r="GR95" s="88"/>
      <c r="GS95" s="88"/>
      <c r="GT95" s="88"/>
      <c r="GU95" s="88"/>
      <c r="GV95" s="88"/>
      <c r="GW95" s="88"/>
      <c r="GX95" s="88"/>
      <c r="GY95" s="88"/>
      <c r="GZ95" s="88"/>
      <c r="HA95" s="88"/>
      <c r="HB95" s="88"/>
      <c r="HC95" s="88"/>
      <c r="HD95" s="88"/>
      <c r="HE95" s="88"/>
      <c r="HF95" s="88"/>
      <c r="HG95" s="88"/>
      <c r="HH95" s="88"/>
      <c r="HI95" s="88"/>
      <c r="HJ95" s="88"/>
      <c r="HK95" s="88"/>
      <c r="HL95" s="88"/>
      <c r="HM95" s="88"/>
      <c r="HN95" s="88"/>
      <c r="HO95" s="92"/>
      <c r="HP95" s="87"/>
      <c r="HQ95" s="88"/>
      <c r="HR95" s="89"/>
      <c r="HS95" s="90"/>
      <c r="HT95" s="88"/>
      <c r="HU95" s="88"/>
      <c r="HV95" s="88"/>
      <c r="HW95" s="88"/>
      <c r="HX95" s="88"/>
      <c r="HY95" s="88"/>
      <c r="HZ95" s="88"/>
      <c r="IA95" s="88"/>
      <c r="IB95" s="88"/>
      <c r="IC95" s="88"/>
      <c r="ID95" s="88"/>
      <c r="IE95" s="88"/>
      <c r="IF95" s="88"/>
      <c r="IG95" s="88"/>
      <c r="IH95" s="88"/>
      <c r="II95" s="88"/>
      <c r="IJ95" s="88"/>
      <c r="IK95" s="88"/>
      <c r="IL95" s="88"/>
      <c r="IM95" s="88"/>
      <c r="IN95" s="88"/>
      <c r="IO95" s="88"/>
      <c r="IP95" s="88"/>
      <c r="IQ95" s="88"/>
      <c r="IR95" s="88"/>
      <c r="IS95" s="88"/>
      <c r="IT95" s="88"/>
      <c r="IU95" s="88"/>
      <c r="IV95" s="88"/>
      <c r="IW95" s="89"/>
      <c r="IX95" s="92"/>
      <c r="IY95" s="87"/>
      <c r="IZ95" s="88"/>
      <c r="JA95" s="88"/>
      <c r="JB95" s="88"/>
      <c r="JC95" s="88"/>
      <c r="JD95" s="88"/>
      <c r="JE95" s="88"/>
      <c r="JF95" s="88"/>
      <c r="JG95" s="88"/>
      <c r="JH95" s="88"/>
      <c r="JI95" s="88"/>
      <c r="JJ95" s="88"/>
      <c r="JK95" s="88"/>
      <c r="JL95" s="88"/>
      <c r="JM95" s="88"/>
      <c r="JN95" s="88"/>
      <c r="JO95" s="88"/>
      <c r="JP95" s="88"/>
      <c r="JQ95" s="88"/>
      <c r="JR95" s="88"/>
      <c r="JS95" s="88"/>
      <c r="JT95" s="88"/>
      <c r="JU95" s="88"/>
      <c r="JV95" s="88"/>
      <c r="JW95" s="88"/>
      <c r="JX95" s="88"/>
      <c r="JY95" s="88"/>
      <c r="JZ95" s="88"/>
      <c r="KA95" s="89"/>
      <c r="KB95" s="90"/>
      <c r="KC95" s="88"/>
      <c r="KD95" s="88"/>
      <c r="KE95" s="88"/>
      <c r="KF95" s="88"/>
      <c r="KG95" s="88"/>
    </row>
    <row r="96" customFormat="false" ht="22.5" hidden="false" customHeight="true" outlineLevel="1" collapsed="false">
      <c r="B96" s="75" t="s">
        <v>273</v>
      </c>
      <c r="C96" s="147" t="s">
        <v>274</v>
      </c>
      <c r="D96" s="127" t="s">
        <v>275</v>
      </c>
      <c r="E96" s="178" t="n">
        <v>2</v>
      </c>
      <c r="F96" s="179" t="n">
        <v>0</v>
      </c>
      <c r="G96" s="180" t="n">
        <f aca="false">E96-F96</f>
        <v>2</v>
      </c>
      <c r="H96" s="181" t="n">
        <v>5</v>
      </c>
      <c r="I96" s="185" t="n">
        <v>4.23</v>
      </c>
      <c r="J96" s="133" t="n">
        <v>46274</v>
      </c>
      <c r="K96" s="133" t="n">
        <v>46276</v>
      </c>
      <c r="L96" s="183" t="n">
        <f aca="false">K96-J96</f>
        <v>2</v>
      </c>
      <c r="M96" s="184" t="n">
        <f aca="false">IFERROR(F96/E96,"")</f>
        <v>0</v>
      </c>
      <c r="N96" s="87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9"/>
      <c r="AK96" s="90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  <c r="BH96" s="88"/>
      <c r="BI96" s="88"/>
      <c r="BJ96" s="88"/>
      <c r="BK96" s="88"/>
      <c r="BL96" s="88"/>
      <c r="BM96" s="88"/>
      <c r="BN96" s="89"/>
      <c r="BO96" s="90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91"/>
      <c r="CT96" s="90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  <c r="DL96" s="88"/>
      <c r="DM96" s="88"/>
      <c r="DN96" s="88"/>
      <c r="DO96" s="88"/>
      <c r="DP96" s="88"/>
      <c r="DQ96" s="88"/>
      <c r="DR96" s="88"/>
      <c r="DS96" s="88"/>
      <c r="DT96" s="88"/>
      <c r="DU96" s="92"/>
      <c r="DV96" s="87"/>
      <c r="DW96" s="88"/>
      <c r="DX96" s="88"/>
      <c r="DY96" s="88"/>
      <c r="DZ96" s="88"/>
      <c r="EA96" s="88"/>
      <c r="EB96" s="88"/>
      <c r="EC96" s="88"/>
      <c r="ED96" s="89"/>
      <c r="EE96" s="90"/>
      <c r="EF96" s="88"/>
      <c r="EG96" s="88"/>
      <c r="EH96" s="88"/>
      <c r="EI96" s="88"/>
      <c r="EJ96" s="88"/>
      <c r="EK96" s="88"/>
      <c r="EL96" s="88"/>
      <c r="EM96" s="88"/>
      <c r="EN96" s="88"/>
      <c r="EO96" s="88"/>
      <c r="EP96" s="88"/>
      <c r="EQ96" s="88"/>
      <c r="ER96" s="88"/>
      <c r="ES96" s="88"/>
      <c r="ET96" s="88"/>
      <c r="EU96" s="88"/>
      <c r="EV96" s="88"/>
      <c r="EW96" s="88"/>
      <c r="EX96" s="88"/>
      <c r="EY96" s="88"/>
      <c r="EZ96" s="88"/>
      <c r="FA96" s="88"/>
      <c r="FB96" s="88"/>
      <c r="FC96" s="88"/>
      <c r="FD96" s="88"/>
      <c r="FE96" s="88"/>
      <c r="FF96" s="88"/>
      <c r="FG96" s="88"/>
      <c r="FH96" s="88"/>
      <c r="FI96" s="89"/>
      <c r="FJ96" s="90"/>
      <c r="FK96" s="88"/>
      <c r="FL96" s="88"/>
      <c r="FM96" s="88"/>
      <c r="FN96" s="88"/>
      <c r="FO96" s="88"/>
      <c r="FP96" s="88"/>
      <c r="FQ96" s="88"/>
      <c r="FR96" s="88"/>
      <c r="FS96" s="88"/>
      <c r="FT96" s="88"/>
      <c r="FU96" s="88"/>
      <c r="FV96" s="88"/>
      <c r="FW96" s="88"/>
      <c r="FX96" s="88"/>
      <c r="FY96" s="88"/>
      <c r="FZ96" s="88"/>
      <c r="GA96" s="88"/>
      <c r="GB96" s="88"/>
      <c r="GC96" s="88"/>
      <c r="GD96" s="88"/>
      <c r="GE96" s="88"/>
      <c r="GF96" s="88"/>
      <c r="GG96" s="88"/>
      <c r="GH96" s="88"/>
      <c r="GI96" s="88"/>
      <c r="GJ96" s="88"/>
      <c r="GK96" s="88"/>
      <c r="GL96" s="88"/>
      <c r="GM96" s="88"/>
      <c r="GN96" s="89"/>
      <c r="GO96" s="90"/>
      <c r="GP96" s="88"/>
      <c r="GQ96" s="88"/>
      <c r="GR96" s="88"/>
      <c r="GS96" s="88"/>
      <c r="GT96" s="88"/>
      <c r="GU96" s="88"/>
      <c r="GV96" s="88"/>
      <c r="GW96" s="88"/>
      <c r="GX96" s="88"/>
      <c r="GY96" s="88"/>
      <c r="GZ96" s="88"/>
      <c r="HA96" s="88"/>
      <c r="HB96" s="88"/>
      <c r="HC96" s="88"/>
      <c r="HD96" s="88"/>
      <c r="HE96" s="88"/>
      <c r="HF96" s="88"/>
      <c r="HG96" s="88"/>
      <c r="HH96" s="88"/>
      <c r="HI96" s="88"/>
      <c r="HJ96" s="88"/>
      <c r="HK96" s="88"/>
      <c r="HL96" s="88"/>
      <c r="HM96" s="88"/>
      <c r="HN96" s="88"/>
      <c r="HO96" s="92"/>
      <c r="HP96" s="87"/>
      <c r="HQ96" s="88"/>
      <c r="HR96" s="89"/>
      <c r="HS96" s="90"/>
      <c r="HT96" s="88"/>
      <c r="HU96" s="88"/>
      <c r="HV96" s="88"/>
      <c r="HW96" s="88"/>
      <c r="HX96" s="88"/>
      <c r="HY96" s="88"/>
      <c r="HZ96" s="88"/>
      <c r="IA96" s="88"/>
      <c r="IB96" s="88"/>
      <c r="IC96" s="88"/>
      <c r="ID96" s="88"/>
      <c r="IE96" s="88"/>
      <c r="IF96" s="88"/>
      <c r="IG96" s="88"/>
      <c r="IH96" s="88"/>
      <c r="II96" s="88"/>
      <c r="IJ96" s="88"/>
      <c r="IK96" s="88"/>
      <c r="IL96" s="88"/>
      <c r="IM96" s="88"/>
      <c r="IN96" s="88"/>
      <c r="IO96" s="88"/>
      <c r="IP96" s="88"/>
      <c r="IQ96" s="88"/>
      <c r="IR96" s="88"/>
      <c r="IS96" s="88"/>
      <c r="IT96" s="88"/>
      <c r="IU96" s="88"/>
      <c r="IV96" s="88"/>
      <c r="IW96" s="89"/>
      <c r="IX96" s="92"/>
      <c r="IY96" s="87"/>
      <c r="IZ96" s="88"/>
      <c r="JA96" s="88"/>
      <c r="JB96" s="88"/>
      <c r="JC96" s="88"/>
      <c r="JD96" s="88"/>
      <c r="JE96" s="88"/>
      <c r="JF96" s="88"/>
      <c r="JG96" s="88"/>
      <c r="JH96" s="88"/>
      <c r="JI96" s="88"/>
      <c r="JJ96" s="88"/>
      <c r="JK96" s="88"/>
      <c r="JL96" s="88"/>
      <c r="JM96" s="88"/>
      <c r="JN96" s="88"/>
      <c r="JO96" s="88"/>
      <c r="JP96" s="88"/>
      <c r="JQ96" s="88"/>
      <c r="JR96" s="88"/>
      <c r="JS96" s="88"/>
      <c r="JT96" s="88"/>
      <c r="JU96" s="88"/>
      <c r="JV96" s="88"/>
      <c r="JW96" s="88"/>
      <c r="JX96" s="88"/>
      <c r="JY96" s="88"/>
      <c r="JZ96" s="88"/>
      <c r="KA96" s="89"/>
      <c r="KB96" s="90"/>
      <c r="KC96" s="88"/>
      <c r="KD96" s="88"/>
      <c r="KE96" s="88"/>
      <c r="KF96" s="88"/>
      <c r="KG96" s="88"/>
    </row>
    <row r="97" customFormat="false" ht="22.5" hidden="false" customHeight="true" outlineLevel="1" collapsed="false">
      <c r="B97" s="75" t="s">
        <v>276</v>
      </c>
      <c r="C97" s="147" t="s">
        <v>277</v>
      </c>
      <c r="D97" s="127" t="s">
        <v>278</v>
      </c>
      <c r="E97" s="178" t="n">
        <v>3</v>
      </c>
      <c r="F97" s="179" t="n">
        <v>2</v>
      </c>
      <c r="G97" s="180" t="n">
        <f aca="false">E97-F97</f>
        <v>1</v>
      </c>
      <c r="H97" s="181" t="n">
        <v>5</v>
      </c>
      <c r="I97" s="185" t="n">
        <v>4.23</v>
      </c>
      <c r="J97" s="133" t="n">
        <v>46277</v>
      </c>
      <c r="K97" s="133" t="n">
        <v>46280</v>
      </c>
      <c r="L97" s="183" t="n">
        <f aca="false">K97-J97</f>
        <v>3</v>
      </c>
      <c r="M97" s="184" t="n">
        <f aca="false">IFERROR(F97/E97,"")</f>
        <v>0.666666666666667</v>
      </c>
      <c r="N97" s="87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9"/>
      <c r="AK97" s="90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  <c r="BH97" s="88"/>
      <c r="BI97" s="88"/>
      <c r="BJ97" s="88"/>
      <c r="BK97" s="88"/>
      <c r="BL97" s="88"/>
      <c r="BM97" s="88"/>
      <c r="BN97" s="89"/>
      <c r="BO97" s="90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91"/>
      <c r="CT97" s="90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  <c r="DL97" s="88"/>
      <c r="DM97" s="88"/>
      <c r="DN97" s="88"/>
      <c r="DO97" s="88"/>
      <c r="DP97" s="88"/>
      <c r="DQ97" s="88"/>
      <c r="DR97" s="88"/>
      <c r="DS97" s="88"/>
      <c r="DT97" s="88"/>
      <c r="DU97" s="92"/>
      <c r="DV97" s="87"/>
      <c r="DW97" s="88"/>
      <c r="DX97" s="88"/>
      <c r="DY97" s="88"/>
      <c r="DZ97" s="88"/>
      <c r="EA97" s="88"/>
      <c r="EB97" s="88"/>
      <c r="EC97" s="88"/>
      <c r="ED97" s="89"/>
      <c r="EE97" s="90"/>
      <c r="EF97" s="88"/>
      <c r="EG97" s="88"/>
      <c r="EH97" s="88"/>
      <c r="EI97" s="88"/>
      <c r="EJ97" s="88"/>
      <c r="EK97" s="88"/>
      <c r="EL97" s="88"/>
      <c r="EM97" s="88"/>
      <c r="EN97" s="88"/>
      <c r="EO97" s="88"/>
      <c r="EP97" s="88"/>
      <c r="EQ97" s="88"/>
      <c r="ER97" s="88"/>
      <c r="ES97" s="88"/>
      <c r="ET97" s="88"/>
      <c r="EU97" s="88"/>
      <c r="EV97" s="88"/>
      <c r="EW97" s="88"/>
      <c r="EX97" s="88"/>
      <c r="EY97" s="88"/>
      <c r="EZ97" s="88"/>
      <c r="FA97" s="88"/>
      <c r="FB97" s="88"/>
      <c r="FC97" s="88"/>
      <c r="FD97" s="88"/>
      <c r="FE97" s="88"/>
      <c r="FF97" s="88"/>
      <c r="FG97" s="88"/>
      <c r="FH97" s="88"/>
      <c r="FI97" s="89"/>
      <c r="FJ97" s="90"/>
      <c r="FK97" s="88"/>
      <c r="FL97" s="88"/>
      <c r="FM97" s="88"/>
      <c r="FN97" s="88"/>
      <c r="FO97" s="88"/>
      <c r="FP97" s="88"/>
      <c r="FQ97" s="88"/>
      <c r="FR97" s="88"/>
      <c r="FS97" s="88"/>
      <c r="FT97" s="88"/>
      <c r="FU97" s="88"/>
      <c r="FV97" s="88"/>
      <c r="FW97" s="88"/>
      <c r="FX97" s="88"/>
      <c r="FY97" s="88"/>
      <c r="FZ97" s="88"/>
      <c r="GA97" s="88"/>
      <c r="GB97" s="88"/>
      <c r="GC97" s="88"/>
      <c r="GD97" s="88"/>
      <c r="GE97" s="88"/>
      <c r="GF97" s="88"/>
      <c r="GG97" s="88"/>
      <c r="GH97" s="88"/>
      <c r="GI97" s="88"/>
      <c r="GJ97" s="88"/>
      <c r="GK97" s="88"/>
      <c r="GL97" s="88"/>
      <c r="GM97" s="88"/>
      <c r="GN97" s="89"/>
      <c r="GO97" s="90"/>
      <c r="GP97" s="88"/>
      <c r="GQ97" s="88"/>
      <c r="GR97" s="88"/>
      <c r="GS97" s="88"/>
      <c r="GT97" s="88"/>
      <c r="GU97" s="88"/>
      <c r="GV97" s="88"/>
      <c r="GW97" s="88"/>
      <c r="GX97" s="88"/>
      <c r="GY97" s="88"/>
      <c r="GZ97" s="88"/>
      <c r="HA97" s="88"/>
      <c r="HB97" s="88"/>
      <c r="HC97" s="88"/>
      <c r="HD97" s="88"/>
      <c r="HE97" s="88"/>
      <c r="HF97" s="88"/>
      <c r="HG97" s="88"/>
      <c r="HH97" s="88"/>
      <c r="HI97" s="88"/>
      <c r="HJ97" s="88"/>
      <c r="HK97" s="88"/>
      <c r="HL97" s="88"/>
      <c r="HM97" s="88"/>
      <c r="HN97" s="88"/>
      <c r="HO97" s="92"/>
      <c r="HP97" s="87"/>
      <c r="HQ97" s="88"/>
      <c r="HR97" s="89"/>
      <c r="HS97" s="90"/>
      <c r="HT97" s="88"/>
      <c r="HU97" s="88"/>
      <c r="HV97" s="88"/>
      <c r="HW97" s="88"/>
      <c r="HX97" s="88"/>
      <c r="HY97" s="88"/>
      <c r="HZ97" s="88"/>
      <c r="IA97" s="88"/>
      <c r="IB97" s="88"/>
      <c r="IC97" s="88"/>
      <c r="ID97" s="88"/>
      <c r="IE97" s="88"/>
      <c r="IF97" s="88"/>
      <c r="IG97" s="88"/>
      <c r="IH97" s="88"/>
      <c r="II97" s="88"/>
      <c r="IJ97" s="88"/>
      <c r="IK97" s="88"/>
      <c r="IL97" s="88"/>
      <c r="IM97" s="88"/>
      <c r="IN97" s="88"/>
      <c r="IO97" s="88"/>
      <c r="IP97" s="88"/>
      <c r="IQ97" s="88"/>
      <c r="IR97" s="88"/>
      <c r="IS97" s="88"/>
      <c r="IT97" s="88"/>
      <c r="IU97" s="88"/>
      <c r="IV97" s="88"/>
      <c r="IW97" s="89"/>
      <c r="IX97" s="92"/>
      <c r="IY97" s="87"/>
      <c r="IZ97" s="88"/>
      <c r="JA97" s="88"/>
      <c r="JB97" s="88"/>
      <c r="JC97" s="88"/>
      <c r="JD97" s="88"/>
      <c r="JE97" s="88"/>
      <c r="JF97" s="88"/>
      <c r="JG97" s="88"/>
      <c r="JH97" s="88"/>
      <c r="JI97" s="88"/>
      <c r="JJ97" s="88"/>
      <c r="JK97" s="88"/>
      <c r="JL97" s="88"/>
      <c r="JM97" s="88"/>
      <c r="JN97" s="88"/>
      <c r="JO97" s="88"/>
      <c r="JP97" s="88"/>
      <c r="JQ97" s="88"/>
      <c r="JR97" s="88"/>
      <c r="JS97" s="88"/>
      <c r="JT97" s="88"/>
      <c r="JU97" s="88"/>
      <c r="JV97" s="88"/>
      <c r="JW97" s="88"/>
      <c r="JX97" s="88"/>
      <c r="JY97" s="88"/>
      <c r="JZ97" s="88"/>
      <c r="KA97" s="89"/>
      <c r="KB97" s="90"/>
      <c r="KC97" s="88"/>
      <c r="KD97" s="88"/>
      <c r="KE97" s="88"/>
      <c r="KF97" s="88"/>
      <c r="KG97" s="88"/>
    </row>
    <row r="98" customFormat="false" ht="22.5" hidden="false" customHeight="true" outlineLevel="1" collapsed="false">
      <c r="B98" s="186" t="s">
        <v>279</v>
      </c>
      <c r="C98" s="187" t="s">
        <v>280</v>
      </c>
      <c r="D98" s="188" t="s">
        <v>73</v>
      </c>
      <c r="E98" s="189" t="n">
        <v>1</v>
      </c>
      <c r="F98" s="189" t="n">
        <v>1</v>
      </c>
      <c r="G98" s="190" t="n">
        <f aca="false">E98-F98</f>
        <v>0</v>
      </c>
      <c r="H98" s="189" t="n">
        <v>5</v>
      </c>
      <c r="I98" s="191" t="n">
        <v>3.16</v>
      </c>
      <c r="J98" s="192" t="n">
        <v>46278</v>
      </c>
      <c r="K98" s="192" t="n">
        <v>46278</v>
      </c>
      <c r="L98" s="193" t="n">
        <f aca="false">K98-J98</f>
        <v>0</v>
      </c>
      <c r="M98" s="194" t="n">
        <f aca="false">IFERROR(F98/E98,"")</f>
        <v>1</v>
      </c>
      <c r="N98" s="87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9"/>
      <c r="AK98" s="90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  <c r="BH98" s="88"/>
      <c r="BI98" s="88"/>
      <c r="BJ98" s="88"/>
      <c r="BK98" s="88"/>
      <c r="BL98" s="88"/>
      <c r="BM98" s="88"/>
      <c r="BN98" s="89"/>
      <c r="BO98" s="90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91"/>
      <c r="CT98" s="90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  <c r="DL98" s="88"/>
      <c r="DM98" s="88"/>
      <c r="DN98" s="88"/>
      <c r="DO98" s="88"/>
      <c r="DP98" s="88"/>
      <c r="DQ98" s="88"/>
      <c r="DR98" s="88"/>
      <c r="DS98" s="88"/>
      <c r="DT98" s="88"/>
      <c r="DU98" s="92"/>
      <c r="DV98" s="87"/>
      <c r="DW98" s="88"/>
      <c r="DX98" s="88"/>
      <c r="DY98" s="88"/>
      <c r="DZ98" s="88"/>
      <c r="EA98" s="88"/>
      <c r="EB98" s="88"/>
      <c r="EC98" s="88"/>
      <c r="ED98" s="89"/>
      <c r="EE98" s="90"/>
      <c r="EF98" s="88"/>
      <c r="EG98" s="88"/>
      <c r="EH98" s="88"/>
      <c r="EI98" s="88"/>
      <c r="EJ98" s="88"/>
      <c r="EK98" s="88"/>
      <c r="EL98" s="88"/>
      <c r="EM98" s="88"/>
      <c r="EN98" s="88"/>
      <c r="EO98" s="88"/>
      <c r="EP98" s="88"/>
      <c r="EQ98" s="88"/>
      <c r="ER98" s="88"/>
      <c r="ES98" s="88"/>
      <c r="ET98" s="88"/>
      <c r="EU98" s="88"/>
      <c r="EV98" s="88"/>
      <c r="EW98" s="88"/>
      <c r="EX98" s="88"/>
      <c r="EY98" s="88"/>
      <c r="EZ98" s="88"/>
      <c r="FA98" s="88"/>
      <c r="FB98" s="88"/>
      <c r="FC98" s="88"/>
      <c r="FD98" s="88"/>
      <c r="FE98" s="88"/>
      <c r="FF98" s="88"/>
      <c r="FG98" s="88"/>
      <c r="FH98" s="88"/>
      <c r="FI98" s="89"/>
      <c r="FJ98" s="90"/>
      <c r="FK98" s="88"/>
      <c r="FL98" s="88"/>
      <c r="FM98" s="88"/>
      <c r="FN98" s="88"/>
      <c r="FO98" s="88"/>
      <c r="FP98" s="88"/>
      <c r="FQ98" s="88"/>
      <c r="FR98" s="88"/>
      <c r="FS98" s="88"/>
      <c r="FT98" s="88"/>
      <c r="FU98" s="88"/>
      <c r="FV98" s="88"/>
      <c r="FW98" s="88"/>
      <c r="FX98" s="88"/>
      <c r="FY98" s="88"/>
      <c r="FZ98" s="88"/>
      <c r="GA98" s="88"/>
      <c r="GB98" s="88"/>
      <c r="GC98" s="88"/>
      <c r="GD98" s="88"/>
      <c r="GE98" s="88"/>
      <c r="GF98" s="88"/>
      <c r="GG98" s="88"/>
      <c r="GH98" s="88"/>
      <c r="GI98" s="88"/>
      <c r="GJ98" s="88"/>
      <c r="GK98" s="88"/>
      <c r="GL98" s="88"/>
      <c r="GM98" s="88"/>
      <c r="GN98" s="89"/>
      <c r="GO98" s="90"/>
      <c r="GP98" s="88"/>
      <c r="GQ98" s="88"/>
      <c r="GR98" s="88"/>
      <c r="GS98" s="88"/>
      <c r="GT98" s="88"/>
      <c r="GU98" s="88"/>
      <c r="GV98" s="88"/>
      <c r="GW98" s="88"/>
      <c r="GX98" s="88"/>
      <c r="GY98" s="88"/>
      <c r="GZ98" s="88"/>
      <c r="HA98" s="88"/>
      <c r="HB98" s="88"/>
      <c r="HC98" s="88"/>
      <c r="HD98" s="88"/>
      <c r="HE98" s="88"/>
      <c r="HF98" s="88"/>
      <c r="HG98" s="88"/>
      <c r="HH98" s="88"/>
      <c r="HI98" s="88"/>
      <c r="HJ98" s="88"/>
      <c r="HK98" s="88"/>
      <c r="HL98" s="88"/>
      <c r="HM98" s="88"/>
      <c r="HN98" s="88"/>
      <c r="HO98" s="92"/>
      <c r="HP98" s="87"/>
      <c r="HQ98" s="88"/>
      <c r="HR98" s="89"/>
      <c r="HS98" s="90"/>
      <c r="HT98" s="88"/>
      <c r="HU98" s="88"/>
      <c r="HV98" s="88"/>
      <c r="HW98" s="88"/>
      <c r="HX98" s="88"/>
      <c r="HY98" s="88"/>
      <c r="HZ98" s="88"/>
      <c r="IA98" s="88"/>
      <c r="IB98" s="88"/>
      <c r="IC98" s="88"/>
      <c r="ID98" s="88"/>
      <c r="IE98" s="88"/>
      <c r="IF98" s="88"/>
      <c r="IG98" s="88"/>
      <c r="IH98" s="88"/>
      <c r="II98" s="88"/>
      <c r="IJ98" s="88"/>
      <c r="IK98" s="88"/>
      <c r="IL98" s="88"/>
      <c r="IM98" s="88"/>
      <c r="IN98" s="88"/>
      <c r="IO98" s="88"/>
      <c r="IP98" s="88"/>
      <c r="IQ98" s="88"/>
      <c r="IR98" s="88"/>
      <c r="IS98" s="88"/>
      <c r="IT98" s="88"/>
      <c r="IU98" s="88"/>
      <c r="IV98" s="88"/>
      <c r="IW98" s="89"/>
      <c r="IX98" s="92"/>
      <c r="IY98" s="87"/>
      <c r="IZ98" s="88"/>
      <c r="JA98" s="88"/>
      <c r="JB98" s="88"/>
      <c r="JC98" s="88"/>
      <c r="JD98" s="88"/>
      <c r="JE98" s="88"/>
      <c r="JF98" s="88"/>
      <c r="JG98" s="88"/>
      <c r="JH98" s="88"/>
      <c r="JI98" s="88"/>
      <c r="JJ98" s="88"/>
      <c r="JK98" s="88"/>
      <c r="JL98" s="88"/>
      <c r="JM98" s="88"/>
      <c r="JN98" s="88"/>
      <c r="JO98" s="88"/>
      <c r="JP98" s="88"/>
      <c r="JQ98" s="88"/>
      <c r="JR98" s="88"/>
      <c r="JS98" s="88"/>
      <c r="JT98" s="88"/>
      <c r="JU98" s="88"/>
      <c r="JV98" s="88"/>
      <c r="JW98" s="88"/>
      <c r="JX98" s="88"/>
      <c r="JY98" s="88"/>
      <c r="JZ98" s="88"/>
      <c r="KA98" s="89"/>
      <c r="KB98" s="90"/>
      <c r="KC98" s="88"/>
      <c r="KD98" s="88"/>
      <c r="KE98" s="88"/>
      <c r="KF98" s="88"/>
      <c r="KG98" s="88"/>
    </row>
    <row r="99" customFormat="false" ht="22.5" hidden="false" customHeight="true" outlineLevel="1" collapsed="false">
      <c r="B99" s="195" t="s">
        <v>281</v>
      </c>
      <c r="C99" s="196" t="s">
        <v>282</v>
      </c>
      <c r="D99" s="197" t="s">
        <v>283</v>
      </c>
      <c r="E99" s="189" t="n">
        <v>2</v>
      </c>
      <c r="F99" s="189" t="n">
        <v>0</v>
      </c>
      <c r="G99" s="190" t="n">
        <f aca="false">E99-F99</f>
        <v>2</v>
      </c>
      <c r="H99" s="189" t="n">
        <v>5</v>
      </c>
      <c r="I99" s="191" t="n">
        <v>4.26</v>
      </c>
      <c r="J99" s="198" t="n">
        <v>46287</v>
      </c>
      <c r="K99" s="198" t="n">
        <v>46287</v>
      </c>
      <c r="L99" s="199" t="n">
        <f aca="false">K99-J99</f>
        <v>0</v>
      </c>
      <c r="M99" s="200" t="n">
        <f aca="false">IFERROR(F99/E99,"")</f>
        <v>0</v>
      </c>
      <c r="N99" s="90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9"/>
      <c r="AK99" s="90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  <c r="BH99" s="88"/>
      <c r="BI99" s="88"/>
      <c r="BJ99" s="88"/>
      <c r="BK99" s="88"/>
      <c r="BL99" s="88"/>
      <c r="BM99" s="88"/>
      <c r="BN99" s="89"/>
      <c r="BO99" s="90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91"/>
      <c r="CT99" s="90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  <c r="DL99" s="88"/>
      <c r="DM99" s="88"/>
      <c r="DN99" s="88"/>
      <c r="DO99" s="88"/>
      <c r="DP99" s="88"/>
      <c r="DQ99" s="88"/>
      <c r="DR99" s="88"/>
      <c r="DS99" s="88"/>
      <c r="DT99" s="88"/>
      <c r="DU99" s="92"/>
      <c r="DV99" s="87"/>
      <c r="DW99" s="88"/>
      <c r="DX99" s="88"/>
      <c r="DY99" s="88"/>
      <c r="DZ99" s="88"/>
      <c r="EA99" s="88"/>
      <c r="EB99" s="88"/>
      <c r="EC99" s="88"/>
      <c r="ED99" s="89"/>
      <c r="EE99" s="90"/>
      <c r="EF99" s="88"/>
      <c r="EG99" s="88"/>
      <c r="EH99" s="88"/>
      <c r="EI99" s="88"/>
      <c r="EJ99" s="88"/>
      <c r="EK99" s="88"/>
      <c r="EL99" s="88"/>
      <c r="EM99" s="88"/>
      <c r="EN99" s="88"/>
      <c r="EO99" s="88"/>
      <c r="EP99" s="88"/>
      <c r="EQ99" s="88"/>
      <c r="ER99" s="88"/>
      <c r="ES99" s="88"/>
      <c r="ET99" s="88"/>
      <c r="EU99" s="88"/>
      <c r="EV99" s="88"/>
      <c r="EW99" s="88"/>
      <c r="EX99" s="88"/>
      <c r="EY99" s="88"/>
      <c r="EZ99" s="88"/>
      <c r="FA99" s="88"/>
      <c r="FB99" s="88"/>
      <c r="FC99" s="88"/>
      <c r="FD99" s="88"/>
      <c r="FE99" s="88"/>
      <c r="FF99" s="88"/>
      <c r="FG99" s="88"/>
      <c r="FH99" s="88"/>
      <c r="FI99" s="89"/>
      <c r="FJ99" s="90"/>
      <c r="FK99" s="88"/>
      <c r="FL99" s="88"/>
      <c r="FM99" s="88"/>
      <c r="FN99" s="88"/>
      <c r="FO99" s="88"/>
      <c r="FP99" s="88"/>
      <c r="FQ99" s="88"/>
      <c r="FR99" s="88"/>
      <c r="FS99" s="88"/>
      <c r="FT99" s="88"/>
      <c r="FU99" s="88"/>
      <c r="FV99" s="88"/>
      <c r="FW99" s="88"/>
      <c r="FX99" s="88"/>
      <c r="FY99" s="88"/>
      <c r="FZ99" s="88"/>
      <c r="GA99" s="88"/>
      <c r="GB99" s="88"/>
      <c r="GC99" s="88"/>
      <c r="GD99" s="88"/>
      <c r="GE99" s="88"/>
      <c r="GF99" s="88"/>
      <c r="GG99" s="88"/>
      <c r="GH99" s="88"/>
      <c r="GI99" s="88"/>
      <c r="GJ99" s="88"/>
      <c r="GK99" s="88"/>
      <c r="GL99" s="88"/>
      <c r="GM99" s="88"/>
      <c r="GN99" s="89"/>
      <c r="GO99" s="90"/>
      <c r="GP99" s="88"/>
      <c r="GQ99" s="88"/>
      <c r="GR99" s="88"/>
      <c r="GS99" s="88"/>
      <c r="GT99" s="88"/>
      <c r="GU99" s="88"/>
      <c r="GV99" s="88"/>
      <c r="GW99" s="88"/>
      <c r="GX99" s="88"/>
      <c r="GY99" s="88"/>
      <c r="GZ99" s="88"/>
      <c r="HA99" s="88"/>
      <c r="HB99" s="88"/>
      <c r="HC99" s="88"/>
      <c r="HD99" s="88"/>
      <c r="HE99" s="88"/>
      <c r="HF99" s="88"/>
      <c r="HG99" s="88"/>
      <c r="HH99" s="88"/>
      <c r="HI99" s="88"/>
      <c r="HJ99" s="88"/>
      <c r="HK99" s="88"/>
      <c r="HL99" s="88"/>
      <c r="HM99" s="88"/>
      <c r="HN99" s="88"/>
      <c r="HO99" s="92"/>
      <c r="HP99" s="87"/>
      <c r="HQ99" s="88"/>
      <c r="HR99" s="89"/>
      <c r="HS99" s="90"/>
      <c r="HT99" s="88"/>
      <c r="HU99" s="88"/>
      <c r="HV99" s="88"/>
      <c r="HW99" s="88"/>
      <c r="HX99" s="88"/>
      <c r="HY99" s="88"/>
      <c r="HZ99" s="88"/>
      <c r="IA99" s="88"/>
      <c r="IB99" s="88"/>
      <c r="IC99" s="88"/>
      <c r="ID99" s="88"/>
      <c r="IE99" s="88"/>
      <c r="IF99" s="88"/>
      <c r="IG99" s="88"/>
      <c r="IH99" s="88"/>
      <c r="II99" s="88"/>
      <c r="IJ99" s="88"/>
      <c r="IK99" s="88"/>
      <c r="IL99" s="88"/>
      <c r="IM99" s="88"/>
      <c r="IN99" s="88"/>
      <c r="IO99" s="88"/>
      <c r="IP99" s="88"/>
      <c r="IQ99" s="88"/>
      <c r="IR99" s="88"/>
      <c r="IS99" s="88"/>
      <c r="IT99" s="88"/>
      <c r="IU99" s="88"/>
      <c r="IV99" s="88"/>
      <c r="IW99" s="89"/>
      <c r="IX99" s="92"/>
      <c r="IY99" s="87"/>
      <c r="IZ99" s="88"/>
      <c r="JA99" s="88"/>
      <c r="JB99" s="88"/>
      <c r="JC99" s="88"/>
      <c r="JD99" s="88"/>
      <c r="JE99" s="88"/>
      <c r="JF99" s="88"/>
      <c r="JG99" s="88"/>
      <c r="JH99" s="88"/>
      <c r="JI99" s="88"/>
      <c r="JJ99" s="88"/>
      <c r="JK99" s="88"/>
      <c r="JL99" s="88"/>
      <c r="JM99" s="88"/>
      <c r="JN99" s="88"/>
      <c r="JO99" s="88"/>
      <c r="JP99" s="88"/>
      <c r="JQ99" s="88"/>
      <c r="JR99" s="88"/>
      <c r="JS99" s="88"/>
      <c r="JT99" s="88"/>
      <c r="JU99" s="88"/>
      <c r="JV99" s="88"/>
      <c r="JW99" s="88"/>
      <c r="JX99" s="88"/>
      <c r="JY99" s="88"/>
      <c r="JZ99" s="88"/>
      <c r="KA99" s="89"/>
      <c r="KB99" s="90"/>
      <c r="KC99" s="88"/>
      <c r="KD99" s="88"/>
      <c r="KE99" s="88"/>
      <c r="KF99" s="88"/>
      <c r="KG99" s="88"/>
    </row>
    <row r="100" customFormat="false" ht="22.5" hidden="false" customHeight="true" outlineLevel="1" collapsed="false">
      <c r="B100" s="201" t="s">
        <v>284</v>
      </c>
      <c r="C100" s="202" t="s">
        <v>285</v>
      </c>
      <c r="D100" s="197" t="s">
        <v>228</v>
      </c>
      <c r="E100" s="189" t="n">
        <v>3</v>
      </c>
      <c r="F100" s="189" t="n">
        <v>1</v>
      </c>
      <c r="G100" s="190" t="n">
        <f aca="false">E100-F100</f>
        <v>2</v>
      </c>
      <c r="H100" s="189" t="n">
        <v>5</v>
      </c>
      <c r="I100" s="191" t="n">
        <v>4.27</v>
      </c>
      <c r="J100" s="198" t="n">
        <v>46288</v>
      </c>
      <c r="K100" s="198" t="n">
        <v>46290</v>
      </c>
      <c r="L100" s="199" t="n">
        <f aca="false">K100-J100</f>
        <v>2</v>
      </c>
      <c r="M100" s="200" t="n">
        <f aca="false">IFERROR(F100/E100,"")</f>
        <v>0.333333333333333</v>
      </c>
      <c r="N100" s="87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9"/>
      <c r="AK100" s="90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  <c r="BH100" s="88"/>
      <c r="BI100" s="88"/>
      <c r="BJ100" s="88"/>
      <c r="BK100" s="88"/>
      <c r="BL100" s="88"/>
      <c r="BM100" s="88"/>
      <c r="BN100" s="89"/>
      <c r="BO100" s="90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91"/>
      <c r="CT100" s="90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  <c r="DL100" s="88"/>
      <c r="DM100" s="88"/>
      <c r="DN100" s="88"/>
      <c r="DO100" s="88"/>
      <c r="DP100" s="88"/>
      <c r="DQ100" s="88"/>
      <c r="DR100" s="88"/>
      <c r="DS100" s="88"/>
      <c r="DT100" s="88"/>
      <c r="DU100" s="92"/>
      <c r="DV100" s="87"/>
      <c r="DW100" s="88"/>
      <c r="DX100" s="88"/>
      <c r="DY100" s="88"/>
      <c r="DZ100" s="88"/>
      <c r="EA100" s="88"/>
      <c r="EB100" s="88"/>
      <c r="EC100" s="88"/>
      <c r="ED100" s="89"/>
      <c r="EE100" s="90"/>
      <c r="EF100" s="88"/>
      <c r="EG100" s="88"/>
      <c r="EH100" s="88"/>
      <c r="EI100" s="88"/>
      <c r="EJ100" s="88"/>
      <c r="EK100" s="88"/>
      <c r="EL100" s="88"/>
      <c r="EM100" s="88"/>
      <c r="EN100" s="88"/>
      <c r="EO100" s="88"/>
      <c r="EP100" s="88"/>
      <c r="EQ100" s="88"/>
      <c r="ER100" s="88"/>
      <c r="ES100" s="88"/>
      <c r="ET100" s="88"/>
      <c r="EU100" s="88"/>
      <c r="EV100" s="88"/>
      <c r="EW100" s="88"/>
      <c r="EX100" s="88"/>
      <c r="EY100" s="88"/>
      <c r="EZ100" s="88"/>
      <c r="FA100" s="88"/>
      <c r="FB100" s="88"/>
      <c r="FC100" s="88"/>
      <c r="FD100" s="88"/>
      <c r="FE100" s="88"/>
      <c r="FF100" s="88"/>
      <c r="FG100" s="88"/>
      <c r="FH100" s="88"/>
      <c r="FI100" s="89"/>
      <c r="FJ100" s="90"/>
      <c r="FK100" s="88"/>
      <c r="FL100" s="88"/>
      <c r="FM100" s="88"/>
      <c r="FN100" s="88"/>
      <c r="FO100" s="88"/>
      <c r="FP100" s="88"/>
      <c r="FQ100" s="88"/>
      <c r="FR100" s="88"/>
      <c r="FS100" s="88"/>
      <c r="FT100" s="88"/>
      <c r="FU100" s="88"/>
      <c r="FV100" s="88"/>
      <c r="FW100" s="88"/>
      <c r="FX100" s="88"/>
      <c r="FY100" s="88"/>
      <c r="FZ100" s="88"/>
      <c r="GA100" s="88"/>
      <c r="GB100" s="88"/>
      <c r="GC100" s="88"/>
      <c r="GD100" s="88"/>
      <c r="GE100" s="88"/>
      <c r="GF100" s="88"/>
      <c r="GG100" s="88"/>
      <c r="GH100" s="88"/>
      <c r="GI100" s="88"/>
      <c r="GJ100" s="88"/>
      <c r="GK100" s="88"/>
      <c r="GL100" s="88"/>
      <c r="GM100" s="88"/>
      <c r="GN100" s="89"/>
      <c r="GO100" s="90"/>
      <c r="GP100" s="88"/>
      <c r="GQ100" s="88"/>
      <c r="GR100" s="88"/>
      <c r="GS100" s="88"/>
      <c r="GT100" s="88"/>
      <c r="GU100" s="88"/>
      <c r="GV100" s="88"/>
      <c r="GW100" s="88"/>
      <c r="GX100" s="88"/>
      <c r="GY100" s="88"/>
      <c r="GZ100" s="88"/>
      <c r="HA100" s="88"/>
      <c r="HB100" s="88"/>
      <c r="HC100" s="88"/>
      <c r="HD100" s="88"/>
      <c r="HE100" s="88"/>
      <c r="HF100" s="88"/>
      <c r="HG100" s="88"/>
      <c r="HH100" s="88"/>
      <c r="HI100" s="88"/>
      <c r="HJ100" s="88"/>
      <c r="HK100" s="88"/>
      <c r="HL100" s="88"/>
      <c r="HM100" s="88"/>
      <c r="HN100" s="88"/>
      <c r="HO100" s="92"/>
      <c r="HP100" s="87"/>
      <c r="HQ100" s="88"/>
      <c r="HR100" s="89"/>
      <c r="HS100" s="90"/>
      <c r="HT100" s="88"/>
      <c r="HU100" s="88"/>
      <c r="HV100" s="88"/>
      <c r="HW100" s="88"/>
      <c r="HX100" s="88"/>
      <c r="HY100" s="88"/>
      <c r="HZ100" s="88"/>
      <c r="IA100" s="88"/>
      <c r="IB100" s="88"/>
      <c r="IC100" s="88"/>
      <c r="ID100" s="88"/>
      <c r="IE100" s="88"/>
      <c r="IF100" s="88"/>
      <c r="IG100" s="88"/>
      <c r="IH100" s="88"/>
      <c r="II100" s="88"/>
      <c r="IJ100" s="88"/>
      <c r="IK100" s="88"/>
      <c r="IL100" s="88"/>
      <c r="IM100" s="88"/>
      <c r="IN100" s="88"/>
      <c r="IO100" s="88"/>
      <c r="IP100" s="88"/>
      <c r="IQ100" s="88"/>
      <c r="IR100" s="88"/>
      <c r="IS100" s="88"/>
      <c r="IT100" s="88"/>
      <c r="IU100" s="88"/>
      <c r="IV100" s="88"/>
      <c r="IW100" s="89"/>
      <c r="IX100" s="92"/>
      <c r="IY100" s="87"/>
      <c r="IZ100" s="88"/>
      <c r="JA100" s="88"/>
      <c r="JB100" s="88"/>
      <c r="JC100" s="88"/>
      <c r="JD100" s="88"/>
      <c r="JE100" s="88"/>
      <c r="JF100" s="88"/>
      <c r="JG100" s="88"/>
      <c r="JH100" s="88"/>
      <c r="JI100" s="88"/>
      <c r="JJ100" s="88"/>
      <c r="JK100" s="88"/>
      <c r="JL100" s="88"/>
      <c r="JM100" s="88"/>
      <c r="JN100" s="88"/>
      <c r="JO100" s="88"/>
      <c r="JP100" s="88"/>
      <c r="JQ100" s="88"/>
      <c r="JR100" s="88"/>
      <c r="JS100" s="88"/>
      <c r="JT100" s="88"/>
      <c r="JU100" s="88"/>
      <c r="JV100" s="88"/>
      <c r="JW100" s="88"/>
      <c r="JX100" s="88"/>
      <c r="JY100" s="88"/>
      <c r="JZ100" s="88"/>
      <c r="KA100" s="89"/>
      <c r="KB100" s="90"/>
      <c r="KC100" s="88"/>
      <c r="KD100" s="88"/>
      <c r="KE100" s="88"/>
      <c r="KF100" s="88"/>
      <c r="KG100" s="88"/>
    </row>
    <row r="101" customFormat="false" ht="22.5" hidden="false" customHeight="true" outlineLevel="1" collapsed="false">
      <c r="B101" s="203" t="s">
        <v>286</v>
      </c>
      <c r="C101" s="202" t="s">
        <v>287</v>
      </c>
      <c r="D101" s="204" t="s">
        <v>288</v>
      </c>
      <c r="E101" s="205" t="n">
        <v>2</v>
      </c>
      <c r="F101" s="205" t="n">
        <v>0</v>
      </c>
      <c r="G101" s="190" t="n">
        <f aca="false">E101-F101</f>
        <v>2</v>
      </c>
      <c r="H101" s="205" t="n">
        <v>5</v>
      </c>
      <c r="I101" s="191" t="n">
        <v>4.28</v>
      </c>
      <c r="J101" s="198" t="n">
        <v>46288</v>
      </c>
      <c r="K101" s="198" t="n">
        <v>46288</v>
      </c>
      <c r="L101" s="199" t="n">
        <f aca="false">K101-J101</f>
        <v>0</v>
      </c>
      <c r="M101" s="200" t="n">
        <f aca="false">IFERROR(F101/E101,"")</f>
        <v>0</v>
      </c>
      <c r="N101" s="87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9"/>
      <c r="AK101" s="90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  <c r="BH101" s="88"/>
      <c r="BI101" s="88"/>
      <c r="BJ101" s="88"/>
      <c r="BK101" s="88"/>
      <c r="BL101" s="88"/>
      <c r="BM101" s="88"/>
      <c r="BN101" s="89"/>
      <c r="BO101" s="90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91"/>
      <c r="CT101" s="90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  <c r="DL101" s="88"/>
      <c r="DM101" s="88"/>
      <c r="DN101" s="88"/>
      <c r="DO101" s="88"/>
      <c r="DP101" s="88"/>
      <c r="DQ101" s="88"/>
      <c r="DR101" s="88"/>
      <c r="DS101" s="88"/>
      <c r="DT101" s="88"/>
      <c r="DU101" s="92"/>
      <c r="DV101" s="87"/>
      <c r="DW101" s="88"/>
      <c r="DX101" s="88"/>
      <c r="DY101" s="88"/>
      <c r="DZ101" s="88"/>
      <c r="EA101" s="88"/>
      <c r="EB101" s="88"/>
      <c r="EC101" s="88"/>
      <c r="ED101" s="89"/>
      <c r="EE101" s="90"/>
      <c r="EF101" s="88"/>
      <c r="EG101" s="88"/>
      <c r="EH101" s="88"/>
      <c r="EI101" s="88"/>
      <c r="EJ101" s="88"/>
      <c r="EK101" s="88"/>
      <c r="EL101" s="88"/>
      <c r="EM101" s="88"/>
      <c r="EN101" s="88"/>
      <c r="EO101" s="88"/>
      <c r="EP101" s="88"/>
      <c r="EQ101" s="88"/>
      <c r="ER101" s="88"/>
      <c r="ES101" s="88"/>
      <c r="ET101" s="88"/>
      <c r="EU101" s="88"/>
      <c r="EV101" s="88"/>
      <c r="EW101" s="88"/>
      <c r="EX101" s="88"/>
      <c r="EY101" s="88"/>
      <c r="EZ101" s="88"/>
      <c r="FA101" s="88"/>
      <c r="FB101" s="88"/>
      <c r="FC101" s="88"/>
      <c r="FD101" s="88"/>
      <c r="FE101" s="88"/>
      <c r="FF101" s="88"/>
      <c r="FG101" s="88"/>
      <c r="FH101" s="88"/>
      <c r="FI101" s="89"/>
      <c r="FJ101" s="90"/>
      <c r="FK101" s="88"/>
      <c r="FL101" s="88"/>
      <c r="FM101" s="88"/>
      <c r="FN101" s="88"/>
      <c r="FO101" s="88"/>
      <c r="FP101" s="88"/>
      <c r="FQ101" s="88"/>
      <c r="FR101" s="88"/>
      <c r="FS101" s="88"/>
      <c r="FT101" s="88"/>
      <c r="FU101" s="88"/>
      <c r="FV101" s="88"/>
      <c r="FW101" s="88"/>
      <c r="FX101" s="88"/>
      <c r="FY101" s="88"/>
      <c r="FZ101" s="88"/>
      <c r="GA101" s="88"/>
      <c r="GB101" s="88"/>
      <c r="GC101" s="88"/>
      <c r="GD101" s="88"/>
      <c r="GE101" s="88"/>
      <c r="GF101" s="88"/>
      <c r="GG101" s="88"/>
      <c r="GH101" s="88"/>
      <c r="GI101" s="88"/>
      <c r="GJ101" s="88"/>
      <c r="GK101" s="88"/>
      <c r="GL101" s="88"/>
      <c r="GM101" s="88"/>
      <c r="GN101" s="89"/>
      <c r="GO101" s="90"/>
      <c r="GP101" s="88"/>
      <c r="GQ101" s="88"/>
      <c r="GR101" s="88"/>
      <c r="GS101" s="88"/>
      <c r="GT101" s="88"/>
      <c r="GU101" s="88"/>
      <c r="GV101" s="88"/>
      <c r="GW101" s="88"/>
      <c r="GX101" s="88"/>
      <c r="GY101" s="88"/>
      <c r="GZ101" s="88"/>
      <c r="HA101" s="88"/>
      <c r="HB101" s="88"/>
      <c r="HC101" s="88"/>
      <c r="HD101" s="88"/>
      <c r="HE101" s="88"/>
      <c r="HF101" s="88"/>
      <c r="HG101" s="88"/>
      <c r="HH101" s="88"/>
      <c r="HI101" s="88"/>
      <c r="HJ101" s="88"/>
      <c r="HK101" s="88"/>
      <c r="HL101" s="88"/>
      <c r="HM101" s="88"/>
      <c r="HN101" s="88"/>
      <c r="HO101" s="92"/>
      <c r="HP101" s="87"/>
      <c r="HQ101" s="88"/>
      <c r="HR101" s="89"/>
      <c r="HS101" s="90"/>
      <c r="HT101" s="88"/>
      <c r="HU101" s="88"/>
      <c r="HV101" s="88"/>
      <c r="HW101" s="88"/>
      <c r="HX101" s="88"/>
      <c r="HY101" s="88"/>
      <c r="HZ101" s="88"/>
      <c r="IA101" s="88"/>
      <c r="IB101" s="88"/>
      <c r="IC101" s="88"/>
      <c r="ID101" s="88"/>
      <c r="IE101" s="88"/>
      <c r="IF101" s="88"/>
      <c r="IG101" s="88"/>
      <c r="IH101" s="88"/>
      <c r="II101" s="88"/>
      <c r="IJ101" s="88"/>
      <c r="IK101" s="88"/>
      <c r="IL101" s="88"/>
      <c r="IM101" s="88"/>
      <c r="IN101" s="88"/>
      <c r="IO101" s="88"/>
      <c r="IP101" s="88"/>
      <c r="IQ101" s="88"/>
      <c r="IR101" s="88"/>
      <c r="IS101" s="88"/>
      <c r="IT101" s="88"/>
      <c r="IU101" s="88"/>
      <c r="IV101" s="88"/>
      <c r="IW101" s="89"/>
      <c r="IX101" s="92"/>
      <c r="IY101" s="87"/>
      <c r="IZ101" s="88"/>
      <c r="JA101" s="88"/>
      <c r="JB101" s="88"/>
      <c r="JC101" s="88"/>
      <c r="JD101" s="88"/>
      <c r="JE101" s="88"/>
      <c r="JF101" s="88"/>
      <c r="JG101" s="88"/>
      <c r="JH101" s="88"/>
      <c r="JI101" s="88"/>
      <c r="JJ101" s="88"/>
      <c r="JK101" s="88"/>
      <c r="JL101" s="88"/>
      <c r="JM101" s="88"/>
      <c r="JN101" s="88"/>
      <c r="JO101" s="88"/>
      <c r="JP101" s="88"/>
      <c r="JQ101" s="88"/>
      <c r="JR101" s="88"/>
      <c r="JS101" s="88"/>
      <c r="JT101" s="88"/>
      <c r="JU101" s="88"/>
      <c r="JV101" s="88"/>
      <c r="JW101" s="88"/>
      <c r="JX101" s="88"/>
      <c r="JY101" s="88"/>
      <c r="JZ101" s="88"/>
      <c r="KA101" s="89"/>
      <c r="KB101" s="90"/>
      <c r="KC101" s="88"/>
      <c r="KD101" s="88"/>
      <c r="KE101" s="88"/>
      <c r="KF101" s="88"/>
      <c r="KG101" s="88"/>
    </row>
    <row r="102" customFormat="false" ht="22.5" hidden="false" customHeight="true" outlineLevel="1" collapsed="false">
      <c r="B102" s="203" t="s">
        <v>289</v>
      </c>
      <c r="C102" s="206" t="s">
        <v>290</v>
      </c>
      <c r="D102" s="204" t="s">
        <v>169</v>
      </c>
      <c r="E102" s="205" t="n">
        <v>2</v>
      </c>
      <c r="F102" s="205" t="n">
        <v>0</v>
      </c>
      <c r="G102" s="190" t="n">
        <f aca="false">E102-F102</f>
        <v>2</v>
      </c>
      <c r="H102" s="205" t="n">
        <v>5</v>
      </c>
      <c r="I102" s="191" t="n">
        <v>4.23</v>
      </c>
      <c r="J102" s="198" t="n">
        <v>46271</v>
      </c>
      <c r="K102" s="198" t="n">
        <v>46274</v>
      </c>
      <c r="L102" s="199" t="n">
        <f aca="false">K102-J102</f>
        <v>3</v>
      </c>
      <c r="M102" s="200" t="n">
        <f aca="false">IFERROR(F102/E102,"")</f>
        <v>0</v>
      </c>
      <c r="N102" s="87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9"/>
      <c r="AK102" s="90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9"/>
      <c r="BO102" s="90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91"/>
      <c r="CT102" s="90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92"/>
      <c r="DV102" s="87"/>
      <c r="DW102" s="88"/>
      <c r="DX102" s="88"/>
      <c r="DY102" s="88"/>
      <c r="DZ102" s="88"/>
      <c r="EA102" s="88"/>
      <c r="EB102" s="88"/>
      <c r="EC102" s="88"/>
      <c r="ED102" s="89"/>
      <c r="EE102" s="90"/>
      <c r="EF102" s="88"/>
      <c r="EG102" s="88"/>
      <c r="EH102" s="88"/>
      <c r="EI102" s="88"/>
      <c r="EJ102" s="88"/>
      <c r="EK102" s="88"/>
      <c r="EL102" s="88"/>
      <c r="EM102" s="88"/>
      <c r="EN102" s="88"/>
      <c r="EO102" s="88"/>
      <c r="EP102" s="88"/>
      <c r="EQ102" s="88"/>
      <c r="ER102" s="88"/>
      <c r="ES102" s="88"/>
      <c r="ET102" s="88"/>
      <c r="EU102" s="88"/>
      <c r="EV102" s="88"/>
      <c r="EW102" s="88"/>
      <c r="EX102" s="88"/>
      <c r="EY102" s="88"/>
      <c r="EZ102" s="88"/>
      <c r="FA102" s="88"/>
      <c r="FB102" s="88"/>
      <c r="FC102" s="88"/>
      <c r="FD102" s="88"/>
      <c r="FE102" s="88"/>
      <c r="FF102" s="88"/>
      <c r="FG102" s="88"/>
      <c r="FH102" s="88"/>
      <c r="FI102" s="89"/>
      <c r="FJ102" s="90"/>
      <c r="FK102" s="88"/>
      <c r="FL102" s="88"/>
      <c r="FM102" s="88"/>
      <c r="FN102" s="88"/>
      <c r="FO102" s="88"/>
      <c r="FP102" s="88"/>
      <c r="FQ102" s="88"/>
      <c r="FR102" s="88"/>
      <c r="FS102" s="88"/>
      <c r="FT102" s="88"/>
      <c r="FU102" s="88"/>
      <c r="FV102" s="88"/>
      <c r="FW102" s="88"/>
      <c r="FX102" s="88"/>
      <c r="FY102" s="88"/>
      <c r="FZ102" s="88"/>
      <c r="GA102" s="88"/>
      <c r="GB102" s="88"/>
      <c r="GC102" s="88"/>
      <c r="GD102" s="88"/>
      <c r="GE102" s="88"/>
      <c r="GF102" s="88"/>
      <c r="GG102" s="88"/>
      <c r="GH102" s="88"/>
      <c r="GI102" s="88"/>
      <c r="GJ102" s="88"/>
      <c r="GK102" s="88"/>
      <c r="GL102" s="88"/>
      <c r="GM102" s="88"/>
      <c r="GN102" s="89"/>
      <c r="GO102" s="90"/>
      <c r="GP102" s="88"/>
      <c r="GQ102" s="88"/>
      <c r="GR102" s="88"/>
      <c r="GS102" s="88"/>
      <c r="GT102" s="88"/>
      <c r="GU102" s="88"/>
      <c r="GV102" s="88"/>
      <c r="GW102" s="88"/>
      <c r="GX102" s="88"/>
      <c r="GY102" s="88"/>
      <c r="GZ102" s="88"/>
      <c r="HA102" s="88"/>
      <c r="HB102" s="88"/>
      <c r="HC102" s="88"/>
      <c r="HD102" s="88"/>
      <c r="HE102" s="88"/>
      <c r="HF102" s="88"/>
      <c r="HG102" s="88"/>
      <c r="HH102" s="88"/>
      <c r="HI102" s="88"/>
      <c r="HJ102" s="88"/>
      <c r="HK102" s="88"/>
      <c r="HL102" s="88"/>
      <c r="HM102" s="88"/>
      <c r="HN102" s="88"/>
      <c r="HO102" s="92"/>
      <c r="HP102" s="87"/>
      <c r="HQ102" s="88"/>
      <c r="HR102" s="89"/>
      <c r="HS102" s="90"/>
      <c r="HT102" s="88"/>
      <c r="HU102" s="88"/>
      <c r="HV102" s="88"/>
      <c r="HW102" s="88"/>
      <c r="HX102" s="88"/>
      <c r="HY102" s="88"/>
      <c r="HZ102" s="88"/>
      <c r="IA102" s="88"/>
      <c r="IB102" s="88"/>
      <c r="IC102" s="88"/>
      <c r="ID102" s="88"/>
      <c r="IE102" s="88"/>
      <c r="IF102" s="88"/>
      <c r="IG102" s="88"/>
      <c r="IH102" s="88"/>
      <c r="II102" s="88"/>
      <c r="IJ102" s="88"/>
      <c r="IK102" s="88"/>
      <c r="IL102" s="88"/>
      <c r="IM102" s="88"/>
      <c r="IN102" s="88"/>
      <c r="IO102" s="88"/>
      <c r="IP102" s="88"/>
      <c r="IQ102" s="88"/>
      <c r="IR102" s="88"/>
      <c r="IS102" s="88"/>
      <c r="IT102" s="88"/>
      <c r="IU102" s="88"/>
      <c r="IV102" s="88"/>
      <c r="IW102" s="89"/>
      <c r="IX102" s="92"/>
      <c r="IY102" s="87"/>
      <c r="IZ102" s="88"/>
      <c r="JA102" s="88"/>
      <c r="JB102" s="88"/>
      <c r="JC102" s="88"/>
      <c r="JD102" s="88"/>
      <c r="JE102" s="88"/>
      <c r="JF102" s="88"/>
      <c r="JG102" s="88"/>
      <c r="JH102" s="88"/>
      <c r="JI102" s="88"/>
      <c r="JJ102" s="88"/>
      <c r="JK102" s="88"/>
      <c r="JL102" s="88"/>
      <c r="JM102" s="88"/>
      <c r="JN102" s="88"/>
      <c r="JO102" s="88"/>
      <c r="JP102" s="88"/>
      <c r="JQ102" s="88"/>
      <c r="JR102" s="88"/>
      <c r="JS102" s="88"/>
      <c r="JT102" s="88"/>
      <c r="JU102" s="88"/>
      <c r="JV102" s="88"/>
      <c r="JW102" s="88"/>
      <c r="JX102" s="88"/>
      <c r="JY102" s="88"/>
      <c r="JZ102" s="88"/>
      <c r="KA102" s="89"/>
      <c r="KB102" s="90"/>
      <c r="KC102" s="88"/>
      <c r="KD102" s="88"/>
      <c r="KE102" s="88"/>
      <c r="KF102" s="88"/>
      <c r="KG102" s="88"/>
    </row>
    <row r="103" customFormat="false" ht="22.5" hidden="false" customHeight="true" outlineLevel="1" collapsed="false">
      <c r="B103" s="207" t="s">
        <v>291</v>
      </c>
      <c r="C103" s="206" t="s">
        <v>292</v>
      </c>
      <c r="D103" s="204" t="s">
        <v>231</v>
      </c>
      <c r="E103" s="205" t="n">
        <v>3</v>
      </c>
      <c r="F103" s="205" t="n">
        <v>0</v>
      </c>
      <c r="G103" s="190" t="n">
        <f aca="false">E103-F103</f>
        <v>3</v>
      </c>
      <c r="H103" s="205" t="n">
        <v>5</v>
      </c>
      <c r="I103" s="191" t="n">
        <v>4.3</v>
      </c>
      <c r="J103" s="198" t="n">
        <v>46275</v>
      </c>
      <c r="K103" s="198" t="n">
        <v>46278</v>
      </c>
      <c r="L103" s="199" t="n">
        <f aca="false">K103-J103</f>
        <v>3</v>
      </c>
      <c r="M103" s="200" t="n">
        <f aca="false">IFERROR(F103/E103,"")</f>
        <v>0</v>
      </c>
      <c r="N103" s="87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9"/>
      <c r="AK103" s="90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  <c r="BH103" s="88"/>
      <c r="BI103" s="88"/>
      <c r="BJ103" s="88"/>
      <c r="BK103" s="88"/>
      <c r="BL103" s="88"/>
      <c r="BM103" s="88"/>
      <c r="BN103" s="89"/>
      <c r="BO103" s="90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91"/>
      <c r="CT103" s="90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  <c r="DL103" s="88"/>
      <c r="DM103" s="88"/>
      <c r="DN103" s="88"/>
      <c r="DO103" s="88"/>
      <c r="DP103" s="88"/>
      <c r="DQ103" s="88"/>
      <c r="DR103" s="88"/>
      <c r="DS103" s="88"/>
      <c r="DT103" s="88"/>
      <c r="DU103" s="92"/>
      <c r="DV103" s="87"/>
      <c r="DW103" s="88"/>
      <c r="DX103" s="88"/>
      <c r="DY103" s="88"/>
      <c r="DZ103" s="88"/>
      <c r="EA103" s="88"/>
      <c r="EB103" s="88"/>
      <c r="EC103" s="88"/>
      <c r="ED103" s="89"/>
      <c r="EE103" s="90"/>
      <c r="EF103" s="88"/>
      <c r="EG103" s="88"/>
      <c r="EH103" s="88"/>
      <c r="EI103" s="88"/>
      <c r="EJ103" s="88"/>
      <c r="EK103" s="88"/>
      <c r="EL103" s="88"/>
      <c r="EM103" s="88"/>
      <c r="EN103" s="88"/>
      <c r="EO103" s="88"/>
      <c r="EP103" s="88"/>
      <c r="EQ103" s="88"/>
      <c r="ER103" s="88"/>
      <c r="ES103" s="88"/>
      <c r="ET103" s="88"/>
      <c r="EU103" s="88"/>
      <c r="EV103" s="88"/>
      <c r="EW103" s="88"/>
      <c r="EX103" s="88"/>
      <c r="EY103" s="88"/>
      <c r="EZ103" s="88"/>
      <c r="FA103" s="88"/>
      <c r="FB103" s="88"/>
      <c r="FC103" s="88"/>
      <c r="FD103" s="88"/>
      <c r="FE103" s="88"/>
      <c r="FF103" s="88"/>
      <c r="FG103" s="88"/>
      <c r="FH103" s="88"/>
      <c r="FI103" s="89"/>
      <c r="FJ103" s="90"/>
      <c r="FK103" s="88"/>
      <c r="FL103" s="88"/>
      <c r="FM103" s="88"/>
      <c r="FN103" s="88"/>
      <c r="FO103" s="88"/>
      <c r="FP103" s="88"/>
      <c r="FQ103" s="88"/>
      <c r="FR103" s="88"/>
      <c r="FS103" s="88"/>
      <c r="FT103" s="88"/>
      <c r="FU103" s="88"/>
      <c r="FV103" s="88"/>
      <c r="FW103" s="88"/>
      <c r="FX103" s="88"/>
      <c r="FY103" s="88"/>
      <c r="FZ103" s="88"/>
      <c r="GA103" s="88"/>
      <c r="GB103" s="88"/>
      <c r="GC103" s="88"/>
      <c r="GD103" s="88"/>
      <c r="GE103" s="88"/>
      <c r="GF103" s="88"/>
      <c r="GG103" s="88"/>
      <c r="GH103" s="88"/>
      <c r="GI103" s="88"/>
      <c r="GJ103" s="88"/>
      <c r="GK103" s="88"/>
      <c r="GL103" s="88"/>
      <c r="GM103" s="88"/>
      <c r="GN103" s="89"/>
      <c r="GO103" s="90"/>
      <c r="GP103" s="88"/>
      <c r="GQ103" s="88"/>
      <c r="GR103" s="88"/>
      <c r="GS103" s="88"/>
      <c r="GT103" s="88"/>
      <c r="GU103" s="88"/>
      <c r="GV103" s="88"/>
      <c r="GW103" s="88"/>
      <c r="GX103" s="88"/>
      <c r="GY103" s="88"/>
      <c r="GZ103" s="88"/>
      <c r="HA103" s="88"/>
      <c r="HB103" s="88"/>
      <c r="HC103" s="88"/>
      <c r="HD103" s="88"/>
      <c r="HE103" s="88"/>
      <c r="HF103" s="88"/>
      <c r="HG103" s="88"/>
      <c r="HH103" s="88"/>
      <c r="HI103" s="88"/>
      <c r="HJ103" s="88"/>
      <c r="HK103" s="88"/>
      <c r="HL103" s="88"/>
      <c r="HM103" s="88"/>
      <c r="HN103" s="88"/>
      <c r="HO103" s="92"/>
      <c r="HP103" s="87"/>
      <c r="HQ103" s="88"/>
      <c r="HR103" s="89"/>
      <c r="HS103" s="90"/>
      <c r="HT103" s="88"/>
      <c r="HU103" s="88"/>
      <c r="HV103" s="88"/>
      <c r="HW103" s="88"/>
      <c r="HX103" s="88"/>
      <c r="HY103" s="88"/>
      <c r="HZ103" s="88"/>
      <c r="IA103" s="88"/>
      <c r="IB103" s="88"/>
      <c r="IC103" s="88"/>
      <c r="ID103" s="88"/>
      <c r="IE103" s="88"/>
      <c r="IF103" s="88"/>
      <c r="IG103" s="88"/>
      <c r="IH103" s="88"/>
      <c r="II103" s="88"/>
      <c r="IJ103" s="88"/>
      <c r="IK103" s="88"/>
      <c r="IL103" s="88"/>
      <c r="IM103" s="88"/>
      <c r="IN103" s="88"/>
      <c r="IO103" s="88"/>
      <c r="IP103" s="88"/>
      <c r="IQ103" s="88"/>
      <c r="IR103" s="88"/>
      <c r="IS103" s="88"/>
      <c r="IT103" s="88"/>
      <c r="IU103" s="88"/>
      <c r="IV103" s="88"/>
      <c r="IW103" s="89"/>
      <c r="IX103" s="92"/>
      <c r="IY103" s="87"/>
      <c r="IZ103" s="88"/>
      <c r="JA103" s="88"/>
      <c r="JB103" s="88"/>
      <c r="JC103" s="88"/>
      <c r="JD103" s="88"/>
      <c r="JE103" s="88"/>
      <c r="JF103" s="88"/>
      <c r="JG103" s="88"/>
      <c r="JH103" s="88"/>
      <c r="JI103" s="88"/>
      <c r="JJ103" s="88"/>
      <c r="JK103" s="88"/>
      <c r="JL103" s="88"/>
      <c r="JM103" s="88"/>
      <c r="JN103" s="88"/>
      <c r="JO103" s="88"/>
      <c r="JP103" s="88"/>
      <c r="JQ103" s="88"/>
      <c r="JR103" s="88"/>
      <c r="JS103" s="88"/>
      <c r="JT103" s="88"/>
      <c r="JU103" s="88"/>
      <c r="JV103" s="88"/>
      <c r="JW103" s="88"/>
      <c r="JX103" s="88"/>
      <c r="JY103" s="88"/>
      <c r="JZ103" s="88"/>
      <c r="KA103" s="89"/>
      <c r="KB103" s="90"/>
      <c r="KC103" s="88"/>
      <c r="KD103" s="88"/>
      <c r="KE103" s="88"/>
      <c r="KF103" s="88"/>
      <c r="KG103" s="88"/>
    </row>
    <row r="104" customFormat="false" ht="22.5" hidden="false" customHeight="true" outlineLevel="1" collapsed="false">
      <c r="B104" s="106" t="s">
        <v>293</v>
      </c>
      <c r="C104" s="208" t="s">
        <v>294</v>
      </c>
      <c r="D104" s="209" t="s">
        <v>295</v>
      </c>
      <c r="E104" s="210" t="n">
        <v>2</v>
      </c>
      <c r="F104" s="210" t="n">
        <v>0</v>
      </c>
      <c r="G104" s="211" t="n">
        <f aca="false">E104-F104</f>
        <v>2</v>
      </c>
      <c r="H104" s="210" t="n">
        <v>5</v>
      </c>
      <c r="I104" s="212" t="n">
        <v>4.31</v>
      </c>
      <c r="J104" s="192" t="n">
        <v>46309</v>
      </c>
      <c r="K104" s="192" t="n">
        <v>46313</v>
      </c>
      <c r="L104" s="199" t="n">
        <f aca="false">K104-J104</f>
        <v>4</v>
      </c>
      <c r="M104" s="200" t="n">
        <f aca="false">IFERROR(F104/E104,"")</f>
        <v>0</v>
      </c>
      <c r="N104" s="87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9"/>
      <c r="AK104" s="90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  <c r="BH104" s="88"/>
      <c r="BI104" s="88"/>
      <c r="BJ104" s="88"/>
      <c r="BK104" s="88"/>
      <c r="BL104" s="88"/>
      <c r="BM104" s="88"/>
      <c r="BN104" s="89"/>
      <c r="BO104" s="90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91"/>
      <c r="CT104" s="90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  <c r="DL104" s="88"/>
      <c r="DM104" s="88"/>
      <c r="DN104" s="88"/>
      <c r="DO104" s="88"/>
      <c r="DP104" s="88"/>
      <c r="DQ104" s="88"/>
      <c r="DR104" s="88"/>
      <c r="DS104" s="88"/>
      <c r="DT104" s="88"/>
      <c r="DU104" s="92"/>
      <c r="DV104" s="87"/>
      <c r="DW104" s="88"/>
      <c r="DX104" s="88"/>
      <c r="DY104" s="88"/>
      <c r="DZ104" s="88"/>
      <c r="EA104" s="88"/>
      <c r="EB104" s="88"/>
      <c r="EC104" s="88"/>
      <c r="ED104" s="89"/>
      <c r="EE104" s="90"/>
      <c r="EF104" s="88"/>
      <c r="EG104" s="88"/>
      <c r="EH104" s="88"/>
      <c r="EI104" s="88"/>
      <c r="EJ104" s="88"/>
      <c r="EK104" s="88"/>
      <c r="EL104" s="88"/>
      <c r="EM104" s="88"/>
      <c r="EN104" s="88"/>
      <c r="EO104" s="88"/>
      <c r="EP104" s="88"/>
      <c r="EQ104" s="88"/>
      <c r="ER104" s="88"/>
      <c r="ES104" s="88"/>
      <c r="ET104" s="88"/>
      <c r="EU104" s="88"/>
      <c r="EV104" s="88"/>
      <c r="EW104" s="88"/>
      <c r="EX104" s="88"/>
      <c r="EY104" s="88"/>
      <c r="EZ104" s="88"/>
      <c r="FA104" s="88"/>
      <c r="FB104" s="88"/>
      <c r="FC104" s="88"/>
      <c r="FD104" s="88"/>
      <c r="FE104" s="88"/>
      <c r="FF104" s="88"/>
      <c r="FG104" s="88"/>
      <c r="FH104" s="88"/>
      <c r="FI104" s="89"/>
      <c r="FJ104" s="90"/>
      <c r="FK104" s="88"/>
      <c r="FL104" s="88"/>
      <c r="FM104" s="88"/>
      <c r="FN104" s="88"/>
      <c r="FO104" s="88"/>
      <c r="FP104" s="88"/>
      <c r="FQ104" s="88"/>
      <c r="FR104" s="88"/>
      <c r="FS104" s="88"/>
      <c r="FT104" s="88"/>
      <c r="FU104" s="88"/>
      <c r="FV104" s="88"/>
      <c r="FW104" s="88"/>
      <c r="FX104" s="88"/>
      <c r="FY104" s="88"/>
      <c r="FZ104" s="88"/>
      <c r="GA104" s="88"/>
      <c r="GB104" s="88"/>
      <c r="GC104" s="88"/>
      <c r="GD104" s="88"/>
      <c r="GE104" s="88"/>
      <c r="GF104" s="88"/>
      <c r="GG104" s="88"/>
      <c r="GH104" s="88"/>
      <c r="GI104" s="88"/>
      <c r="GJ104" s="88"/>
      <c r="GK104" s="88"/>
      <c r="GL104" s="88"/>
      <c r="GM104" s="88"/>
      <c r="GN104" s="89"/>
      <c r="GO104" s="90"/>
      <c r="GP104" s="88"/>
      <c r="GQ104" s="88"/>
      <c r="GR104" s="88"/>
      <c r="GS104" s="88"/>
      <c r="GT104" s="88"/>
      <c r="GU104" s="88"/>
      <c r="GV104" s="88"/>
      <c r="GW104" s="88"/>
      <c r="GX104" s="88"/>
      <c r="GY104" s="88"/>
      <c r="GZ104" s="88"/>
      <c r="HA104" s="88"/>
      <c r="HB104" s="88"/>
      <c r="HC104" s="88"/>
      <c r="HD104" s="88"/>
      <c r="HE104" s="88"/>
      <c r="HF104" s="88"/>
      <c r="HG104" s="88"/>
      <c r="HH104" s="88"/>
      <c r="HI104" s="88"/>
      <c r="HJ104" s="88"/>
      <c r="HK104" s="88"/>
      <c r="HL104" s="88"/>
      <c r="HM104" s="88"/>
      <c r="HN104" s="88"/>
      <c r="HO104" s="92"/>
      <c r="HP104" s="87"/>
      <c r="HQ104" s="88"/>
      <c r="HR104" s="89"/>
      <c r="HS104" s="90"/>
      <c r="HT104" s="88"/>
      <c r="HU104" s="88"/>
      <c r="HV104" s="88"/>
      <c r="HW104" s="88"/>
      <c r="HX104" s="88"/>
      <c r="HY104" s="88"/>
      <c r="HZ104" s="88"/>
      <c r="IA104" s="88"/>
      <c r="IB104" s="88"/>
      <c r="IC104" s="88"/>
      <c r="ID104" s="88"/>
      <c r="IE104" s="88"/>
      <c r="IF104" s="88"/>
      <c r="IG104" s="88"/>
      <c r="IH104" s="88"/>
      <c r="II104" s="88"/>
      <c r="IJ104" s="88"/>
      <c r="IK104" s="88"/>
      <c r="IL104" s="88"/>
      <c r="IM104" s="88"/>
      <c r="IN104" s="88"/>
      <c r="IO104" s="88"/>
      <c r="IP104" s="88"/>
      <c r="IQ104" s="88"/>
      <c r="IR104" s="88"/>
      <c r="IS104" s="88"/>
      <c r="IT104" s="88"/>
      <c r="IU104" s="88"/>
      <c r="IV104" s="88"/>
      <c r="IW104" s="89"/>
      <c r="IX104" s="92"/>
      <c r="IY104" s="87"/>
      <c r="IZ104" s="88"/>
      <c r="JA104" s="88"/>
      <c r="JB104" s="88"/>
      <c r="JC104" s="88"/>
      <c r="JD104" s="88"/>
      <c r="JE104" s="88"/>
      <c r="JF104" s="88"/>
      <c r="JG104" s="88"/>
      <c r="JH104" s="88"/>
      <c r="JI104" s="88"/>
      <c r="JJ104" s="88"/>
      <c r="JK104" s="88"/>
      <c r="JL104" s="88"/>
      <c r="JM104" s="88"/>
      <c r="JN104" s="88"/>
      <c r="JO104" s="88"/>
      <c r="JP104" s="88"/>
      <c r="JQ104" s="88"/>
      <c r="JR104" s="88"/>
      <c r="JS104" s="88"/>
      <c r="JT104" s="88"/>
      <c r="JU104" s="88"/>
      <c r="JV104" s="88"/>
      <c r="JW104" s="88"/>
      <c r="JX104" s="88"/>
      <c r="JY104" s="88"/>
      <c r="JZ104" s="88"/>
      <c r="KA104" s="89"/>
      <c r="KB104" s="90"/>
      <c r="KC104" s="88"/>
      <c r="KD104" s="88"/>
      <c r="KE104" s="88"/>
      <c r="KF104" s="88"/>
      <c r="KG104" s="88"/>
    </row>
    <row r="105" customFormat="false" ht="22.5" hidden="false" customHeight="true" outlineLevel="0" collapsed="false">
      <c r="B105" s="113" t="s">
        <v>296</v>
      </c>
      <c r="C105" s="145" t="s">
        <v>297</v>
      </c>
      <c r="D105" s="58"/>
      <c r="E105" s="115"/>
      <c r="F105" s="116"/>
      <c r="G105" s="117"/>
      <c r="H105" s="146"/>
      <c r="I105" s="63"/>
      <c r="J105" s="213"/>
      <c r="K105" s="214"/>
      <c r="L105" s="66"/>
      <c r="M105" s="215" t="n">
        <f aca="false">IFERROR($F$188/$E$188,"")</f>
        <v>0.333333333333333</v>
      </c>
      <c r="N105" s="68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3"/>
      <c r="AK105" s="73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3"/>
      <c r="BO105" s="73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4"/>
      <c r="CT105" s="73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5"/>
      <c r="DV105" s="68"/>
      <c r="DW105" s="122"/>
      <c r="DX105" s="122"/>
      <c r="DY105" s="122"/>
      <c r="DZ105" s="122"/>
      <c r="EA105" s="122"/>
      <c r="EB105" s="122"/>
      <c r="EC105" s="122"/>
      <c r="ED105" s="123"/>
      <c r="EE105" s="73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3"/>
      <c r="FJ105" s="73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  <c r="GJ105" s="122"/>
      <c r="GK105" s="122"/>
      <c r="GL105" s="122"/>
      <c r="GM105" s="122"/>
      <c r="GN105" s="123"/>
      <c r="GO105" s="73"/>
      <c r="GP105" s="122"/>
      <c r="GQ105" s="122"/>
      <c r="GR105" s="122"/>
      <c r="GS105" s="122"/>
      <c r="GT105" s="122"/>
      <c r="GU105" s="122"/>
      <c r="GV105" s="122"/>
      <c r="GW105" s="122"/>
      <c r="GX105" s="122"/>
      <c r="GY105" s="122"/>
      <c r="GZ105" s="122"/>
      <c r="HA105" s="122"/>
      <c r="HB105" s="122"/>
      <c r="HC105" s="122"/>
      <c r="HD105" s="122"/>
      <c r="HE105" s="122"/>
      <c r="HF105" s="122"/>
      <c r="HG105" s="122"/>
      <c r="HH105" s="122"/>
      <c r="HI105" s="122"/>
      <c r="HJ105" s="122"/>
      <c r="HK105" s="122"/>
      <c r="HL105" s="122"/>
      <c r="HM105" s="122"/>
      <c r="HN105" s="122"/>
      <c r="HO105" s="125"/>
      <c r="HP105" s="68"/>
      <c r="HQ105" s="122"/>
      <c r="HR105" s="123"/>
      <c r="HS105" s="73"/>
      <c r="HT105" s="122"/>
      <c r="HU105" s="122"/>
      <c r="HV105" s="122"/>
      <c r="HW105" s="122"/>
      <c r="HX105" s="122"/>
      <c r="HY105" s="122"/>
      <c r="HZ105" s="122"/>
      <c r="IA105" s="122"/>
      <c r="IB105" s="122"/>
      <c r="IC105" s="122"/>
      <c r="ID105" s="122"/>
      <c r="IE105" s="122"/>
      <c r="IF105" s="122"/>
      <c r="IG105" s="122"/>
      <c r="IH105" s="122"/>
      <c r="II105" s="122"/>
      <c r="IJ105" s="122"/>
      <c r="IK105" s="122"/>
      <c r="IL105" s="122"/>
      <c r="IM105" s="122"/>
      <c r="IN105" s="122"/>
      <c r="IO105" s="122"/>
      <c r="IP105" s="122"/>
      <c r="IQ105" s="122"/>
      <c r="IR105" s="122"/>
      <c r="IS105" s="122"/>
      <c r="IT105" s="122"/>
      <c r="IU105" s="122"/>
      <c r="IV105" s="122"/>
      <c r="IW105" s="123"/>
      <c r="IX105" s="125"/>
      <c r="IY105" s="68"/>
      <c r="IZ105" s="122"/>
      <c r="JA105" s="122"/>
      <c r="JB105" s="122"/>
      <c r="JC105" s="122"/>
      <c r="JD105" s="122"/>
      <c r="JE105" s="122"/>
      <c r="JF105" s="122"/>
      <c r="JG105" s="122"/>
      <c r="JH105" s="122"/>
      <c r="JI105" s="122"/>
      <c r="JJ105" s="122"/>
      <c r="JK105" s="122"/>
      <c r="JL105" s="122"/>
      <c r="JM105" s="122"/>
      <c r="JN105" s="122"/>
      <c r="JO105" s="122"/>
      <c r="JP105" s="122"/>
      <c r="JQ105" s="122"/>
      <c r="JR105" s="122"/>
      <c r="JS105" s="122"/>
      <c r="JT105" s="122"/>
      <c r="JU105" s="122"/>
      <c r="JV105" s="122"/>
      <c r="JW105" s="122"/>
      <c r="JX105" s="122"/>
      <c r="JY105" s="122"/>
      <c r="JZ105" s="122"/>
      <c r="KA105" s="123"/>
      <c r="KB105" s="73"/>
      <c r="KC105" s="122"/>
      <c r="KD105" s="122"/>
      <c r="KE105" s="122"/>
      <c r="KF105" s="122"/>
      <c r="KG105" s="122"/>
    </row>
    <row r="106" customFormat="false" ht="22.5" hidden="false" customHeight="true" outlineLevel="1" collapsed="false">
      <c r="B106" s="75" t="s">
        <v>298</v>
      </c>
      <c r="C106" s="147" t="s">
        <v>299</v>
      </c>
      <c r="D106" s="127" t="s">
        <v>87</v>
      </c>
      <c r="E106" s="128" t="n">
        <v>2</v>
      </c>
      <c r="F106" s="129" t="n">
        <v>2</v>
      </c>
      <c r="G106" s="130" t="n">
        <f aca="false">E106-F106</f>
        <v>0</v>
      </c>
      <c r="H106" s="131" t="n">
        <v>1</v>
      </c>
      <c r="I106" s="216" t="n">
        <v>3.16</v>
      </c>
      <c r="J106" s="133" t="n">
        <v>46220</v>
      </c>
      <c r="K106" s="134" t="n">
        <v>46221</v>
      </c>
      <c r="L106" s="135" t="n">
        <f aca="false">K106-J106</f>
        <v>1</v>
      </c>
      <c r="M106" s="136" t="n">
        <f aca="false">IFERROR(F106/E106,"")</f>
        <v>1</v>
      </c>
      <c r="N106" s="87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9"/>
      <c r="AK106" s="90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  <c r="BH106" s="88"/>
      <c r="BI106" s="88"/>
      <c r="BJ106" s="88"/>
      <c r="BK106" s="88"/>
      <c r="BL106" s="88"/>
      <c r="BM106" s="88"/>
      <c r="BN106" s="89"/>
      <c r="BO106" s="90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91"/>
      <c r="CT106" s="90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  <c r="DL106" s="88"/>
      <c r="DM106" s="88"/>
      <c r="DN106" s="88"/>
      <c r="DO106" s="88"/>
      <c r="DP106" s="88"/>
      <c r="DQ106" s="88"/>
      <c r="DR106" s="88"/>
      <c r="DS106" s="88"/>
      <c r="DT106" s="88"/>
      <c r="DU106" s="92"/>
      <c r="DV106" s="87"/>
      <c r="DW106" s="88"/>
      <c r="DX106" s="88"/>
      <c r="DY106" s="88"/>
      <c r="DZ106" s="88"/>
      <c r="EA106" s="88"/>
      <c r="EB106" s="88"/>
      <c r="EC106" s="88"/>
      <c r="ED106" s="89"/>
      <c r="EE106" s="90"/>
      <c r="EF106" s="88"/>
      <c r="EG106" s="88"/>
      <c r="EH106" s="88"/>
      <c r="EI106" s="88"/>
      <c r="EJ106" s="88"/>
      <c r="EK106" s="88"/>
      <c r="EL106" s="88"/>
      <c r="EM106" s="88"/>
      <c r="EN106" s="88"/>
      <c r="EO106" s="88"/>
      <c r="EP106" s="88"/>
      <c r="EQ106" s="88"/>
      <c r="ER106" s="88"/>
      <c r="ES106" s="88"/>
      <c r="ET106" s="88"/>
      <c r="EU106" s="88"/>
      <c r="EV106" s="88"/>
      <c r="EW106" s="88"/>
      <c r="EX106" s="88"/>
      <c r="EY106" s="88"/>
      <c r="EZ106" s="88"/>
      <c r="FA106" s="88"/>
      <c r="FB106" s="88"/>
      <c r="FC106" s="88"/>
      <c r="FD106" s="88"/>
      <c r="FE106" s="88"/>
      <c r="FF106" s="88"/>
      <c r="FG106" s="88"/>
      <c r="FH106" s="88"/>
      <c r="FI106" s="89"/>
      <c r="FJ106" s="90"/>
      <c r="FK106" s="88"/>
      <c r="FL106" s="88"/>
      <c r="FM106" s="88"/>
      <c r="FN106" s="88"/>
      <c r="FO106" s="88"/>
      <c r="FP106" s="88"/>
      <c r="FQ106" s="88"/>
      <c r="FR106" s="88"/>
      <c r="FS106" s="88"/>
      <c r="FT106" s="88"/>
      <c r="FU106" s="88"/>
      <c r="FV106" s="88"/>
      <c r="FW106" s="88"/>
      <c r="FX106" s="88"/>
      <c r="FY106" s="88"/>
      <c r="FZ106" s="88"/>
      <c r="GA106" s="88"/>
      <c r="GB106" s="88"/>
      <c r="GC106" s="88"/>
      <c r="GD106" s="88"/>
      <c r="GE106" s="88"/>
      <c r="GF106" s="88"/>
      <c r="GG106" s="88"/>
      <c r="GH106" s="88"/>
      <c r="GI106" s="88"/>
      <c r="GJ106" s="88"/>
      <c r="GK106" s="88"/>
      <c r="GL106" s="88"/>
      <c r="GM106" s="88"/>
      <c r="GN106" s="89"/>
      <c r="GO106" s="90"/>
      <c r="GP106" s="88"/>
      <c r="GQ106" s="88"/>
      <c r="GR106" s="88"/>
      <c r="GS106" s="88"/>
      <c r="GT106" s="88"/>
      <c r="GU106" s="88"/>
      <c r="GV106" s="88"/>
      <c r="GW106" s="88"/>
      <c r="GX106" s="88"/>
      <c r="GY106" s="88"/>
      <c r="GZ106" s="88"/>
      <c r="HA106" s="88"/>
      <c r="HB106" s="88"/>
      <c r="HC106" s="88"/>
      <c r="HD106" s="88"/>
      <c r="HE106" s="88"/>
      <c r="HF106" s="88"/>
      <c r="HG106" s="88"/>
      <c r="HH106" s="88"/>
      <c r="HI106" s="88"/>
      <c r="HJ106" s="88"/>
      <c r="HK106" s="88"/>
      <c r="HL106" s="88"/>
      <c r="HM106" s="88"/>
      <c r="HN106" s="88"/>
      <c r="HO106" s="92"/>
      <c r="HP106" s="87"/>
      <c r="HQ106" s="88"/>
      <c r="HR106" s="89"/>
      <c r="HS106" s="90"/>
      <c r="HT106" s="88"/>
      <c r="HU106" s="88"/>
      <c r="HV106" s="88"/>
      <c r="HW106" s="88"/>
      <c r="HX106" s="88"/>
      <c r="HY106" s="88"/>
      <c r="HZ106" s="88"/>
      <c r="IA106" s="88"/>
      <c r="IB106" s="88"/>
      <c r="IC106" s="88"/>
      <c r="ID106" s="88"/>
      <c r="IE106" s="88"/>
      <c r="IF106" s="88"/>
      <c r="IG106" s="88"/>
      <c r="IH106" s="88"/>
      <c r="II106" s="88"/>
      <c r="IJ106" s="88"/>
      <c r="IK106" s="88"/>
      <c r="IL106" s="88"/>
      <c r="IM106" s="88"/>
      <c r="IN106" s="88"/>
      <c r="IO106" s="88"/>
      <c r="IP106" s="88"/>
      <c r="IQ106" s="88"/>
      <c r="IR106" s="88"/>
      <c r="IS106" s="88"/>
      <c r="IT106" s="88"/>
      <c r="IU106" s="88"/>
      <c r="IV106" s="88"/>
      <c r="IW106" s="89"/>
      <c r="IX106" s="92"/>
      <c r="IY106" s="87"/>
      <c r="IZ106" s="88"/>
      <c r="JA106" s="88"/>
      <c r="JB106" s="88"/>
      <c r="JC106" s="88"/>
      <c r="JD106" s="88"/>
      <c r="JE106" s="88"/>
      <c r="JF106" s="88"/>
      <c r="JG106" s="88"/>
      <c r="JH106" s="88"/>
      <c r="JI106" s="88"/>
      <c r="JJ106" s="88"/>
      <c r="JK106" s="88"/>
      <c r="JL106" s="88"/>
      <c r="JM106" s="88"/>
      <c r="JN106" s="88"/>
      <c r="JO106" s="88"/>
      <c r="JP106" s="88"/>
      <c r="JQ106" s="88"/>
      <c r="JR106" s="88"/>
      <c r="JS106" s="88"/>
      <c r="JT106" s="88"/>
      <c r="JU106" s="88"/>
      <c r="JV106" s="88"/>
      <c r="JW106" s="88"/>
      <c r="JX106" s="88"/>
      <c r="JY106" s="88"/>
      <c r="JZ106" s="88"/>
      <c r="KA106" s="89"/>
      <c r="KB106" s="90"/>
      <c r="KC106" s="88"/>
      <c r="KD106" s="88"/>
      <c r="KE106" s="88"/>
      <c r="KF106" s="88"/>
      <c r="KG106" s="88"/>
    </row>
    <row r="107" customFormat="false" ht="22.5" hidden="false" customHeight="true" outlineLevel="1" collapsed="false">
      <c r="B107" s="75" t="s">
        <v>300</v>
      </c>
      <c r="C107" s="147" t="s">
        <v>301</v>
      </c>
      <c r="D107" s="127" t="s">
        <v>302</v>
      </c>
      <c r="E107" s="139" t="n">
        <v>4</v>
      </c>
      <c r="F107" s="140" t="n">
        <v>4</v>
      </c>
      <c r="G107" s="141" t="n">
        <f aca="false">E107-F107</f>
        <v>0</v>
      </c>
      <c r="H107" s="142" t="n">
        <v>1</v>
      </c>
      <c r="I107" s="166" t="n">
        <v>5.1</v>
      </c>
      <c r="J107" s="134" t="n">
        <v>46221</v>
      </c>
      <c r="K107" s="134" t="n">
        <v>46222</v>
      </c>
      <c r="L107" s="143" t="n">
        <f aca="false">K107-J107</f>
        <v>1</v>
      </c>
      <c r="M107" s="136" t="n">
        <f aca="false">IFERROR(F107/E107,"")</f>
        <v>1</v>
      </c>
      <c r="N107" s="87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9"/>
      <c r="AK107" s="90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  <c r="BH107" s="88"/>
      <c r="BI107" s="88"/>
      <c r="BJ107" s="88"/>
      <c r="BK107" s="88"/>
      <c r="BL107" s="88"/>
      <c r="BM107" s="88"/>
      <c r="BN107" s="89"/>
      <c r="BO107" s="90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91"/>
      <c r="CT107" s="90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  <c r="DL107" s="88"/>
      <c r="DM107" s="88"/>
      <c r="DN107" s="88"/>
      <c r="DO107" s="88"/>
      <c r="DP107" s="88"/>
      <c r="DQ107" s="88"/>
      <c r="DR107" s="88"/>
      <c r="DS107" s="88"/>
      <c r="DT107" s="88"/>
      <c r="DU107" s="92"/>
      <c r="DV107" s="87"/>
      <c r="DW107" s="88"/>
      <c r="DX107" s="88"/>
      <c r="DY107" s="88"/>
      <c r="DZ107" s="88"/>
      <c r="EA107" s="88"/>
      <c r="EB107" s="88"/>
      <c r="EC107" s="88"/>
      <c r="ED107" s="89"/>
      <c r="EE107" s="90"/>
      <c r="EF107" s="88"/>
      <c r="EG107" s="88"/>
      <c r="EH107" s="88"/>
      <c r="EI107" s="88"/>
      <c r="EJ107" s="88"/>
      <c r="EK107" s="88"/>
      <c r="EL107" s="88"/>
      <c r="EM107" s="88"/>
      <c r="EN107" s="88"/>
      <c r="EO107" s="88"/>
      <c r="EP107" s="88"/>
      <c r="EQ107" s="88"/>
      <c r="ER107" s="88"/>
      <c r="ES107" s="88"/>
      <c r="ET107" s="88"/>
      <c r="EU107" s="88"/>
      <c r="EV107" s="88"/>
      <c r="EW107" s="88"/>
      <c r="EX107" s="88"/>
      <c r="EY107" s="88"/>
      <c r="EZ107" s="88"/>
      <c r="FA107" s="88"/>
      <c r="FB107" s="88"/>
      <c r="FC107" s="88"/>
      <c r="FD107" s="88"/>
      <c r="FE107" s="88"/>
      <c r="FF107" s="88"/>
      <c r="FG107" s="88"/>
      <c r="FH107" s="88"/>
      <c r="FI107" s="89"/>
      <c r="FJ107" s="90"/>
      <c r="FK107" s="88"/>
      <c r="FL107" s="88"/>
      <c r="FM107" s="88"/>
      <c r="FN107" s="88"/>
      <c r="FO107" s="88"/>
      <c r="FP107" s="88"/>
      <c r="FQ107" s="88"/>
      <c r="FR107" s="88"/>
      <c r="FS107" s="88"/>
      <c r="FT107" s="88"/>
      <c r="FU107" s="88"/>
      <c r="FV107" s="88"/>
      <c r="FW107" s="88"/>
      <c r="FX107" s="88"/>
      <c r="FY107" s="88"/>
      <c r="FZ107" s="88"/>
      <c r="GA107" s="88"/>
      <c r="GB107" s="88"/>
      <c r="GC107" s="88"/>
      <c r="GD107" s="88"/>
      <c r="GE107" s="88"/>
      <c r="GF107" s="88"/>
      <c r="GG107" s="88"/>
      <c r="GH107" s="88"/>
      <c r="GI107" s="88"/>
      <c r="GJ107" s="88"/>
      <c r="GK107" s="88"/>
      <c r="GL107" s="88"/>
      <c r="GM107" s="88"/>
      <c r="GN107" s="89"/>
      <c r="GO107" s="90"/>
      <c r="GP107" s="88"/>
      <c r="GQ107" s="88"/>
      <c r="GR107" s="88"/>
      <c r="GS107" s="88"/>
      <c r="GT107" s="88"/>
      <c r="GU107" s="88"/>
      <c r="GV107" s="88"/>
      <c r="GW107" s="88"/>
      <c r="GX107" s="88"/>
      <c r="GY107" s="88"/>
      <c r="GZ107" s="88"/>
      <c r="HA107" s="88"/>
      <c r="HB107" s="88"/>
      <c r="HC107" s="88"/>
      <c r="HD107" s="88"/>
      <c r="HE107" s="88"/>
      <c r="HF107" s="88"/>
      <c r="HG107" s="88"/>
      <c r="HH107" s="88"/>
      <c r="HI107" s="88"/>
      <c r="HJ107" s="88"/>
      <c r="HK107" s="88"/>
      <c r="HL107" s="88"/>
      <c r="HM107" s="88"/>
      <c r="HN107" s="88"/>
      <c r="HO107" s="92"/>
      <c r="HP107" s="87"/>
      <c r="HQ107" s="88"/>
      <c r="HR107" s="89"/>
      <c r="HS107" s="90"/>
      <c r="HT107" s="88"/>
      <c r="HU107" s="88"/>
      <c r="HV107" s="88"/>
      <c r="HW107" s="88"/>
      <c r="HX107" s="88"/>
      <c r="HY107" s="88"/>
      <c r="HZ107" s="88"/>
      <c r="IA107" s="88"/>
      <c r="IB107" s="88"/>
      <c r="IC107" s="88"/>
      <c r="ID107" s="88"/>
      <c r="IE107" s="88"/>
      <c r="IF107" s="88"/>
      <c r="IG107" s="88"/>
      <c r="IH107" s="88"/>
      <c r="II107" s="88"/>
      <c r="IJ107" s="88"/>
      <c r="IK107" s="88"/>
      <c r="IL107" s="88"/>
      <c r="IM107" s="88"/>
      <c r="IN107" s="88"/>
      <c r="IO107" s="88"/>
      <c r="IP107" s="88"/>
      <c r="IQ107" s="88"/>
      <c r="IR107" s="88"/>
      <c r="IS107" s="88"/>
      <c r="IT107" s="88"/>
      <c r="IU107" s="88"/>
      <c r="IV107" s="88"/>
      <c r="IW107" s="89"/>
      <c r="IX107" s="92"/>
      <c r="IY107" s="87"/>
      <c r="IZ107" s="88"/>
      <c r="JA107" s="88"/>
      <c r="JB107" s="88"/>
      <c r="JC107" s="88"/>
      <c r="JD107" s="88"/>
      <c r="JE107" s="88"/>
      <c r="JF107" s="88"/>
      <c r="JG107" s="88"/>
      <c r="JH107" s="88"/>
      <c r="JI107" s="88"/>
      <c r="JJ107" s="88"/>
      <c r="JK107" s="88"/>
      <c r="JL107" s="88"/>
      <c r="JM107" s="88"/>
      <c r="JN107" s="88"/>
      <c r="JO107" s="88"/>
      <c r="JP107" s="88"/>
      <c r="JQ107" s="88"/>
      <c r="JR107" s="88"/>
      <c r="JS107" s="88"/>
      <c r="JT107" s="88"/>
      <c r="JU107" s="88"/>
      <c r="JV107" s="88"/>
      <c r="JW107" s="88"/>
      <c r="JX107" s="88"/>
      <c r="JY107" s="88"/>
      <c r="JZ107" s="88"/>
      <c r="KA107" s="89"/>
      <c r="KB107" s="90"/>
      <c r="KC107" s="88"/>
      <c r="KD107" s="88"/>
      <c r="KE107" s="88"/>
      <c r="KF107" s="88"/>
      <c r="KG107" s="88"/>
    </row>
    <row r="108" customFormat="false" ht="22.5" hidden="false" customHeight="true" outlineLevel="1" collapsed="false">
      <c r="B108" s="75" t="s">
        <v>303</v>
      </c>
      <c r="C108" s="217" t="s">
        <v>304</v>
      </c>
      <c r="D108" s="127" t="s">
        <v>305</v>
      </c>
      <c r="E108" s="218" t="n">
        <v>3</v>
      </c>
      <c r="F108" s="219" t="n">
        <v>3</v>
      </c>
      <c r="G108" s="220" t="n">
        <f aca="false">E108-F108</f>
        <v>0</v>
      </c>
      <c r="H108" s="221" t="n">
        <v>1</v>
      </c>
      <c r="I108" s="222" t="n">
        <v>5.1</v>
      </c>
      <c r="J108" s="134" t="n">
        <v>46221</v>
      </c>
      <c r="K108" s="134" t="n">
        <v>46222</v>
      </c>
      <c r="L108" s="143" t="n">
        <f aca="false">K108-J108</f>
        <v>1</v>
      </c>
      <c r="M108" s="223" t="n">
        <f aca="false">IFERROR(F108/E108,"")</f>
        <v>1</v>
      </c>
      <c r="N108" s="87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9"/>
      <c r="AK108" s="90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  <c r="BH108" s="88"/>
      <c r="BI108" s="88"/>
      <c r="BJ108" s="88"/>
      <c r="BK108" s="88"/>
      <c r="BL108" s="88"/>
      <c r="BM108" s="88"/>
      <c r="BN108" s="89"/>
      <c r="BO108" s="90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91"/>
      <c r="CT108" s="90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  <c r="DL108" s="88"/>
      <c r="DM108" s="88"/>
      <c r="DN108" s="88"/>
      <c r="DO108" s="88"/>
      <c r="DP108" s="88"/>
      <c r="DQ108" s="88"/>
      <c r="DR108" s="88"/>
      <c r="DS108" s="88"/>
      <c r="DT108" s="88"/>
      <c r="DU108" s="92"/>
      <c r="DV108" s="87"/>
      <c r="DW108" s="88"/>
      <c r="DX108" s="88"/>
      <c r="DY108" s="88"/>
      <c r="DZ108" s="88"/>
      <c r="EA108" s="88"/>
      <c r="EB108" s="88"/>
      <c r="EC108" s="88"/>
      <c r="ED108" s="89"/>
      <c r="EE108" s="90"/>
      <c r="EF108" s="88"/>
      <c r="EG108" s="88"/>
      <c r="EH108" s="88"/>
      <c r="EI108" s="88"/>
      <c r="EJ108" s="88"/>
      <c r="EK108" s="88"/>
      <c r="EL108" s="88"/>
      <c r="EM108" s="88"/>
      <c r="EN108" s="88"/>
      <c r="EO108" s="88"/>
      <c r="EP108" s="88"/>
      <c r="EQ108" s="88"/>
      <c r="ER108" s="88"/>
      <c r="ES108" s="88"/>
      <c r="ET108" s="88"/>
      <c r="EU108" s="88"/>
      <c r="EV108" s="88"/>
      <c r="EW108" s="88"/>
      <c r="EX108" s="88"/>
      <c r="EY108" s="88"/>
      <c r="EZ108" s="88"/>
      <c r="FA108" s="88"/>
      <c r="FB108" s="88"/>
      <c r="FC108" s="88"/>
      <c r="FD108" s="88"/>
      <c r="FE108" s="88"/>
      <c r="FF108" s="88"/>
      <c r="FG108" s="88"/>
      <c r="FH108" s="88"/>
      <c r="FI108" s="89"/>
      <c r="FJ108" s="90"/>
      <c r="FK108" s="88"/>
      <c r="FL108" s="88"/>
      <c r="FM108" s="88"/>
      <c r="FN108" s="88"/>
      <c r="FO108" s="88"/>
      <c r="FP108" s="88"/>
      <c r="FQ108" s="88"/>
      <c r="FR108" s="88"/>
      <c r="FS108" s="88"/>
      <c r="FT108" s="88"/>
      <c r="FU108" s="88"/>
      <c r="FV108" s="88"/>
      <c r="FW108" s="88"/>
      <c r="FX108" s="88"/>
      <c r="FY108" s="88"/>
      <c r="FZ108" s="88"/>
      <c r="GA108" s="88"/>
      <c r="GB108" s="88"/>
      <c r="GC108" s="88"/>
      <c r="GD108" s="88"/>
      <c r="GE108" s="88"/>
      <c r="GF108" s="88"/>
      <c r="GG108" s="88"/>
      <c r="GH108" s="88"/>
      <c r="GI108" s="88"/>
      <c r="GJ108" s="88"/>
      <c r="GK108" s="88"/>
      <c r="GL108" s="88"/>
      <c r="GM108" s="88"/>
      <c r="GN108" s="89"/>
      <c r="GO108" s="90"/>
      <c r="GP108" s="88"/>
      <c r="GQ108" s="88"/>
      <c r="GR108" s="88"/>
      <c r="GS108" s="88"/>
      <c r="GT108" s="88"/>
      <c r="GU108" s="88"/>
      <c r="GV108" s="88"/>
      <c r="GW108" s="88"/>
      <c r="GX108" s="88"/>
      <c r="GY108" s="88"/>
      <c r="GZ108" s="88"/>
      <c r="HA108" s="88"/>
      <c r="HB108" s="88"/>
      <c r="HC108" s="88"/>
      <c r="HD108" s="88"/>
      <c r="HE108" s="88"/>
      <c r="HF108" s="88"/>
      <c r="HG108" s="88"/>
      <c r="HH108" s="88"/>
      <c r="HI108" s="88"/>
      <c r="HJ108" s="88"/>
      <c r="HK108" s="88"/>
      <c r="HL108" s="88"/>
      <c r="HM108" s="88"/>
      <c r="HN108" s="88"/>
      <c r="HO108" s="92"/>
      <c r="HP108" s="87"/>
      <c r="HQ108" s="88"/>
      <c r="HR108" s="89"/>
      <c r="HS108" s="90"/>
      <c r="HT108" s="88"/>
      <c r="HU108" s="88"/>
      <c r="HV108" s="88"/>
      <c r="HW108" s="88"/>
      <c r="HX108" s="88"/>
      <c r="HY108" s="88"/>
      <c r="HZ108" s="88"/>
      <c r="IA108" s="88"/>
      <c r="IB108" s="88"/>
      <c r="IC108" s="88"/>
      <c r="ID108" s="88"/>
      <c r="IE108" s="88"/>
      <c r="IF108" s="88"/>
      <c r="IG108" s="88"/>
      <c r="IH108" s="88"/>
      <c r="II108" s="88"/>
      <c r="IJ108" s="88"/>
      <c r="IK108" s="88"/>
      <c r="IL108" s="88"/>
      <c r="IM108" s="88"/>
      <c r="IN108" s="88"/>
      <c r="IO108" s="88"/>
      <c r="IP108" s="88"/>
      <c r="IQ108" s="88"/>
      <c r="IR108" s="88"/>
      <c r="IS108" s="88"/>
      <c r="IT108" s="88"/>
      <c r="IU108" s="88"/>
      <c r="IV108" s="88"/>
      <c r="IW108" s="89"/>
      <c r="IX108" s="92"/>
      <c r="IY108" s="87"/>
      <c r="IZ108" s="88"/>
      <c r="JA108" s="88"/>
      <c r="JB108" s="88"/>
      <c r="JC108" s="88"/>
      <c r="JD108" s="88"/>
      <c r="JE108" s="88"/>
      <c r="JF108" s="88"/>
      <c r="JG108" s="88"/>
      <c r="JH108" s="88"/>
      <c r="JI108" s="88"/>
      <c r="JJ108" s="88"/>
      <c r="JK108" s="88"/>
      <c r="JL108" s="88"/>
      <c r="JM108" s="88"/>
      <c r="JN108" s="88"/>
      <c r="JO108" s="88"/>
      <c r="JP108" s="88"/>
      <c r="JQ108" s="88"/>
      <c r="JR108" s="88"/>
      <c r="JS108" s="88"/>
      <c r="JT108" s="88"/>
      <c r="JU108" s="88"/>
      <c r="JV108" s="88"/>
      <c r="JW108" s="88"/>
      <c r="JX108" s="88"/>
      <c r="JY108" s="88"/>
      <c r="JZ108" s="88"/>
      <c r="KA108" s="89"/>
      <c r="KB108" s="90"/>
      <c r="KC108" s="88"/>
      <c r="KD108" s="88"/>
      <c r="KE108" s="88"/>
      <c r="KF108" s="88"/>
      <c r="KG108" s="88"/>
    </row>
    <row r="109" customFormat="false" ht="22.5" hidden="false" customHeight="true" outlineLevel="1" collapsed="false">
      <c r="B109" s="75" t="s">
        <v>306</v>
      </c>
      <c r="C109" s="217" t="s">
        <v>307</v>
      </c>
      <c r="D109" s="127" t="s">
        <v>308</v>
      </c>
      <c r="E109" s="218" t="n">
        <v>2</v>
      </c>
      <c r="F109" s="219" t="n">
        <v>2</v>
      </c>
      <c r="G109" s="220" t="n">
        <f aca="false">E109-F109</f>
        <v>0</v>
      </c>
      <c r="H109" s="221" t="n">
        <v>1</v>
      </c>
      <c r="I109" s="222" t="n">
        <v>5.2</v>
      </c>
      <c r="J109" s="134" t="n">
        <v>46222</v>
      </c>
      <c r="K109" s="134" t="n">
        <v>46223</v>
      </c>
      <c r="L109" s="143" t="n">
        <f aca="false">K109-J109</f>
        <v>1</v>
      </c>
      <c r="M109" s="224" t="n">
        <f aca="false">IFERROR(F109/E109,"")</f>
        <v>1</v>
      </c>
      <c r="N109" s="87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9"/>
      <c r="AK109" s="90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  <c r="BD109" s="88"/>
      <c r="BE109" s="88"/>
      <c r="BF109" s="88"/>
      <c r="BG109" s="88"/>
      <c r="BH109" s="88"/>
      <c r="BI109" s="88"/>
      <c r="BJ109" s="88"/>
      <c r="BK109" s="88"/>
      <c r="BL109" s="88"/>
      <c r="BM109" s="88"/>
      <c r="BN109" s="89"/>
      <c r="BO109" s="90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91"/>
      <c r="CT109" s="90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  <c r="DL109" s="88"/>
      <c r="DM109" s="88"/>
      <c r="DN109" s="88"/>
      <c r="DO109" s="88"/>
      <c r="DP109" s="88"/>
      <c r="DQ109" s="88"/>
      <c r="DR109" s="88"/>
      <c r="DS109" s="88"/>
      <c r="DT109" s="88"/>
      <c r="DU109" s="92"/>
      <c r="DV109" s="87"/>
      <c r="DW109" s="88"/>
      <c r="DX109" s="88"/>
      <c r="DY109" s="88"/>
      <c r="DZ109" s="88"/>
      <c r="EA109" s="88"/>
      <c r="EB109" s="88"/>
      <c r="EC109" s="88"/>
      <c r="ED109" s="89"/>
      <c r="EE109" s="90"/>
      <c r="EF109" s="88"/>
      <c r="EG109" s="88"/>
      <c r="EH109" s="88"/>
      <c r="EI109" s="88"/>
      <c r="EJ109" s="88"/>
      <c r="EK109" s="88"/>
      <c r="EL109" s="88"/>
      <c r="EM109" s="88"/>
      <c r="EN109" s="88"/>
      <c r="EO109" s="88"/>
      <c r="EP109" s="88"/>
      <c r="EQ109" s="88"/>
      <c r="ER109" s="88"/>
      <c r="ES109" s="88"/>
      <c r="ET109" s="88"/>
      <c r="EU109" s="88"/>
      <c r="EV109" s="88"/>
      <c r="EW109" s="88"/>
      <c r="EX109" s="88"/>
      <c r="EY109" s="88"/>
      <c r="EZ109" s="88"/>
      <c r="FA109" s="88"/>
      <c r="FB109" s="88"/>
      <c r="FC109" s="88"/>
      <c r="FD109" s="88"/>
      <c r="FE109" s="88"/>
      <c r="FF109" s="88"/>
      <c r="FG109" s="88"/>
      <c r="FH109" s="88"/>
      <c r="FI109" s="89"/>
      <c r="FJ109" s="90"/>
      <c r="FK109" s="88"/>
      <c r="FL109" s="88"/>
      <c r="FM109" s="88"/>
      <c r="FN109" s="88"/>
      <c r="FO109" s="88"/>
      <c r="FP109" s="88"/>
      <c r="FQ109" s="88"/>
      <c r="FR109" s="88"/>
      <c r="FS109" s="88"/>
      <c r="FT109" s="88"/>
      <c r="FU109" s="88"/>
      <c r="FV109" s="88"/>
      <c r="FW109" s="88"/>
      <c r="FX109" s="88"/>
      <c r="FY109" s="88"/>
      <c r="FZ109" s="88"/>
      <c r="GA109" s="88"/>
      <c r="GB109" s="88"/>
      <c r="GC109" s="88"/>
      <c r="GD109" s="88"/>
      <c r="GE109" s="88"/>
      <c r="GF109" s="88"/>
      <c r="GG109" s="88"/>
      <c r="GH109" s="88"/>
      <c r="GI109" s="88"/>
      <c r="GJ109" s="88"/>
      <c r="GK109" s="88"/>
      <c r="GL109" s="88"/>
      <c r="GM109" s="88"/>
      <c r="GN109" s="89"/>
      <c r="GO109" s="90"/>
      <c r="GP109" s="88"/>
      <c r="GQ109" s="88"/>
      <c r="GR109" s="88"/>
      <c r="GS109" s="88"/>
      <c r="GT109" s="88"/>
      <c r="GU109" s="88"/>
      <c r="GV109" s="88"/>
      <c r="GW109" s="88"/>
      <c r="GX109" s="88"/>
      <c r="GY109" s="88"/>
      <c r="GZ109" s="88"/>
      <c r="HA109" s="88"/>
      <c r="HB109" s="88"/>
      <c r="HC109" s="88"/>
      <c r="HD109" s="88"/>
      <c r="HE109" s="88"/>
      <c r="HF109" s="88"/>
      <c r="HG109" s="88"/>
      <c r="HH109" s="88"/>
      <c r="HI109" s="88"/>
      <c r="HJ109" s="88"/>
      <c r="HK109" s="88"/>
      <c r="HL109" s="88"/>
      <c r="HM109" s="88"/>
      <c r="HN109" s="88"/>
      <c r="HO109" s="92"/>
      <c r="HP109" s="87"/>
      <c r="HQ109" s="88"/>
      <c r="HR109" s="89"/>
      <c r="HS109" s="90"/>
      <c r="HT109" s="88"/>
      <c r="HU109" s="88"/>
      <c r="HV109" s="88"/>
      <c r="HW109" s="88"/>
      <c r="HX109" s="88"/>
      <c r="HY109" s="88"/>
      <c r="HZ109" s="88"/>
      <c r="IA109" s="88"/>
      <c r="IB109" s="88"/>
      <c r="IC109" s="88"/>
      <c r="ID109" s="88"/>
      <c r="IE109" s="88"/>
      <c r="IF109" s="88"/>
      <c r="IG109" s="88"/>
      <c r="IH109" s="88"/>
      <c r="II109" s="88"/>
      <c r="IJ109" s="88"/>
      <c r="IK109" s="88"/>
      <c r="IL109" s="88"/>
      <c r="IM109" s="88"/>
      <c r="IN109" s="88"/>
      <c r="IO109" s="88"/>
      <c r="IP109" s="88"/>
      <c r="IQ109" s="88"/>
      <c r="IR109" s="88"/>
      <c r="IS109" s="88"/>
      <c r="IT109" s="88"/>
      <c r="IU109" s="88"/>
      <c r="IV109" s="88"/>
      <c r="IW109" s="89"/>
      <c r="IX109" s="92"/>
      <c r="IY109" s="87"/>
      <c r="IZ109" s="88"/>
      <c r="JA109" s="88"/>
      <c r="JB109" s="88"/>
      <c r="JC109" s="88"/>
      <c r="JD109" s="88"/>
      <c r="JE109" s="88"/>
      <c r="JF109" s="88"/>
      <c r="JG109" s="88"/>
      <c r="JH109" s="88"/>
      <c r="JI109" s="88"/>
      <c r="JJ109" s="88"/>
      <c r="JK109" s="88"/>
      <c r="JL109" s="88"/>
      <c r="JM109" s="88"/>
      <c r="JN109" s="88"/>
      <c r="JO109" s="88"/>
      <c r="JP109" s="88"/>
      <c r="JQ109" s="88"/>
      <c r="JR109" s="88"/>
      <c r="JS109" s="88"/>
      <c r="JT109" s="88"/>
      <c r="JU109" s="88"/>
      <c r="JV109" s="88"/>
      <c r="JW109" s="88"/>
      <c r="JX109" s="88"/>
      <c r="JY109" s="88"/>
      <c r="JZ109" s="88"/>
      <c r="KA109" s="89"/>
      <c r="KB109" s="90"/>
      <c r="KC109" s="88"/>
      <c r="KD109" s="88"/>
      <c r="KE109" s="88"/>
      <c r="KF109" s="88"/>
      <c r="KG109" s="88"/>
    </row>
    <row r="110" customFormat="false" ht="22.5" hidden="false" customHeight="true" outlineLevel="1" collapsed="false">
      <c r="B110" s="75" t="s">
        <v>309</v>
      </c>
      <c r="C110" s="217" t="s">
        <v>310</v>
      </c>
      <c r="D110" s="127" t="s">
        <v>177</v>
      </c>
      <c r="E110" s="218" t="n">
        <v>6</v>
      </c>
      <c r="F110" s="219" t="n">
        <v>2</v>
      </c>
      <c r="G110" s="220" t="n">
        <f aca="false">E110-F110</f>
        <v>4</v>
      </c>
      <c r="H110" s="221" t="n">
        <v>1</v>
      </c>
      <c r="I110" s="222" t="n">
        <v>5.3</v>
      </c>
      <c r="J110" s="134" t="n">
        <v>46222</v>
      </c>
      <c r="K110" s="134" t="n">
        <v>46222</v>
      </c>
      <c r="L110" s="143" t="n">
        <f aca="false">K110-J110</f>
        <v>0</v>
      </c>
      <c r="M110" s="224" t="n">
        <f aca="false">IFERROR(F110/E110,"")</f>
        <v>0.333333333333333</v>
      </c>
      <c r="N110" s="87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9"/>
      <c r="AK110" s="90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9"/>
      <c r="BO110" s="90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91"/>
      <c r="CT110" s="90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92"/>
      <c r="DV110" s="87"/>
      <c r="DW110" s="88"/>
      <c r="DX110" s="88"/>
      <c r="DY110" s="88"/>
      <c r="DZ110" s="88"/>
      <c r="EA110" s="88"/>
      <c r="EB110" s="88"/>
      <c r="EC110" s="88"/>
      <c r="ED110" s="89"/>
      <c r="EE110" s="90"/>
      <c r="EF110" s="88"/>
      <c r="EG110" s="88"/>
      <c r="EH110" s="88"/>
      <c r="EI110" s="88"/>
      <c r="EJ110" s="88"/>
      <c r="EK110" s="88"/>
      <c r="EL110" s="88"/>
      <c r="EM110" s="88"/>
      <c r="EN110" s="88"/>
      <c r="EO110" s="88"/>
      <c r="EP110" s="88"/>
      <c r="EQ110" s="88"/>
      <c r="ER110" s="88"/>
      <c r="ES110" s="88"/>
      <c r="ET110" s="88"/>
      <c r="EU110" s="88"/>
      <c r="EV110" s="88"/>
      <c r="EW110" s="88"/>
      <c r="EX110" s="88"/>
      <c r="EY110" s="88"/>
      <c r="EZ110" s="88"/>
      <c r="FA110" s="88"/>
      <c r="FB110" s="88"/>
      <c r="FC110" s="88"/>
      <c r="FD110" s="88"/>
      <c r="FE110" s="88"/>
      <c r="FF110" s="88"/>
      <c r="FG110" s="88"/>
      <c r="FH110" s="88"/>
      <c r="FI110" s="89"/>
      <c r="FJ110" s="90"/>
      <c r="FK110" s="88"/>
      <c r="FL110" s="88"/>
      <c r="FM110" s="88"/>
      <c r="FN110" s="88"/>
      <c r="FO110" s="88"/>
      <c r="FP110" s="88"/>
      <c r="FQ110" s="88"/>
      <c r="FR110" s="88"/>
      <c r="FS110" s="88"/>
      <c r="FT110" s="88"/>
      <c r="FU110" s="88"/>
      <c r="FV110" s="88"/>
      <c r="FW110" s="88"/>
      <c r="FX110" s="88"/>
      <c r="FY110" s="88"/>
      <c r="FZ110" s="88"/>
      <c r="GA110" s="88"/>
      <c r="GB110" s="88"/>
      <c r="GC110" s="88"/>
      <c r="GD110" s="88"/>
      <c r="GE110" s="88"/>
      <c r="GF110" s="88"/>
      <c r="GG110" s="88"/>
      <c r="GH110" s="88"/>
      <c r="GI110" s="88"/>
      <c r="GJ110" s="88"/>
      <c r="GK110" s="88"/>
      <c r="GL110" s="88"/>
      <c r="GM110" s="88"/>
      <c r="GN110" s="89"/>
      <c r="GO110" s="90"/>
      <c r="GP110" s="88"/>
      <c r="GQ110" s="88"/>
      <c r="GR110" s="88"/>
      <c r="GS110" s="88"/>
      <c r="GT110" s="88"/>
      <c r="GU110" s="88"/>
      <c r="GV110" s="88"/>
      <c r="GW110" s="88"/>
      <c r="GX110" s="88"/>
      <c r="GY110" s="88"/>
      <c r="GZ110" s="88"/>
      <c r="HA110" s="88"/>
      <c r="HB110" s="88"/>
      <c r="HC110" s="88"/>
      <c r="HD110" s="88"/>
      <c r="HE110" s="88"/>
      <c r="HF110" s="88"/>
      <c r="HG110" s="88"/>
      <c r="HH110" s="88"/>
      <c r="HI110" s="88"/>
      <c r="HJ110" s="88"/>
      <c r="HK110" s="88"/>
      <c r="HL110" s="88"/>
      <c r="HM110" s="88"/>
      <c r="HN110" s="88"/>
      <c r="HO110" s="92"/>
      <c r="HP110" s="87"/>
      <c r="HQ110" s="88"/>
      <c r="HR110" s="89"/>
      <c r="HS110" s="90"/>
      <c r="HT110" s="88"/>
      <c r="HU110" s="88"/>
      <c r="HV110" s="88"/>
      <c r="HW110" s="88"/>
      <c r="HX110" s="88"/>
      <c r="HY110" s="88"/>
      <c r="HZ110" s="88"/>
      <c r="IA110" s="88"/>
      <c r="IB110" s="88"/>
      <c r="IC110" s="88"/>
      <c r="ID110" s="88"/>
      <c r="IE110" s="88"/>
      <c r="IF110" s="88"/>
      <c r="IG110" s="88"/>
      <c r="IH110" s="88"/>
      <c r="II110" s="88"/>
      <c r="IJ110" s="88"/>
      <c r="IK110" s="88"/>
      <c r="IL110" s="88"/>
      <c r="IM110" s="88"/>
      <c r="IN110" s="88"/>
      <c r="IO110" s="88"/>
      <c r="IP110" s="88"/>
      <c r="IQ110" s="88"/>
      <c r="IR110" s="88"/>
      <c r="IS110" s="88"/>
      <c r="IT110" s="88"/>
      <c r="IU110" s="88"/>
      <c r="IV110" s="88"/>
      <c r="IW110" s="89"/>
      <c r="IX110" s="92"/>
      <c r="IY110" s="87"/>
      <c r="IZ110" s="88"/>
      <c r="JA110" s="88"/>
      <c r="JB110" s="88"/>
      <c r="JC110" s="88"/>
      <c r="JD110" s="88"/>
      <c r="JE110" s="88"/>
      <c r="JF110" s="88"/>
      <c r="JG110" s="88"/>
      <c r="JH110" s="88"/>
      <c r="JI110" s="88"/>
      <c r="JJ110" s="88"/>
      <c r="JK110" s="88"/>
      <c r="JL110" s="88"/>
      <c r="JM110" s="88"/>
      <c r="JN110" s="88"/>
      <c r="JO110" s="88"/>
      <c r="JP110" s="88"/>
      <c r="JQ110" s="88"/>
      <c r="JR110" s="88"/>
      <c r="JS110" s="88"/>
      <c r="JT110" s="88"/>
      <c r="JU110" s="88"/>
      <c r="JV110" s="88"/>
      <c r="JW110" s="88"/>
      <c r="JX110" s="88"/>
      <c r="JY110" s="88"/>
      <c r="JZ110" s="88"/>
      <c r="KA110" s="89"/>
      <c r="KB110" s="90"/>
      <c r="KC110" s="88"/>
      <c r="KD110" s="88"/>
      <c r="KE110" s="88"/>
      <c r="KF110" s="88"/>
      <c r="KG110" s="88"/>
    </row>
    <row r="111" customFormat="false" ht="22.5" hidden="false" customHeight="true" outlineLevel="1" collapsed="false">
      <c r="B111" s="75" t="s">
        <v>311</v>
      </c>
      <c r="C111" s="217" t="s">
        <v>312</v>
      </c>
      <c r="D111" s="127" t="s">
        <v>313</v>
      </c>
      <c r="E111" s="218" t="n">
        <v>2</v>
      </c>
      <c r="F111" s="219" t="n">
        <v>0</v>
      </c>
      <c r="G111" s="220" t="n">
        <f aca="false">E111-F111</f>
        <v>2</v>
      </c>
      <c r="H111" s="221" t="n">
        <v>1</v>
      </c>
      <c r="I111" s="222" t="n">
        <v>5.3</v>
      </c>
      <c r="J111" s="134" t="n">
        <v>46222</v>
      </c>
      <c r="K111" s="134" t="n">
        <v>46224</v>
      </c>
      <c r="L111" s="143" t="n">
        <f aca="false">K111-J111</f>
        <v>2</v>
      </c>
      <c r="M111" s="224" t="n">
        <f aca="false">IFERROR(F111/E111,"")</f>
        <v>0</v>
      </c>
      <c r="N111" s="87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9"/>
      <c r="AK111" s="90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  <c r="BH111" s="88"/>
      <c r="BI111" s="88"/>
      <c r="BJ111" s="88"/>
      <c r="BK111" s="88"/>
      <c r="BL111" s="88"/>
      <c r="BM111" s="88"/>
      <c r="BN111" s="89"/>
      <c r="BO111" s="90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91"/>
      <c r="CT111" s="90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  <c r="DL111" s="88"/>
      <c r="DM111" s="88"/>
      <c r="DN111" s="88"/>
      <c r="DO111" s="88"/>
      <c r="DP111" s="88"/>
      <c r="DQ111" s="88"/>
      <c r="DR111" s="88"/>
      <c r="DS111" s="88"/>
      <c r="DT111" s="88"/>
      <c r="DU111" s="92"/>
      <c r="DV111" s="87"/>
      <c r="DW111" s="88"/>
      <c r="DX111" s="88"/>
      <c r="DY111" s="88"/>
      <c r="DZ111" s="88"/>
      <c r="EA111" s="88"/>
      <c r="EB111" s="88"/>
      <c r="EC111" s="88"/>
      <c r="ED111" s="89"/>
      <c r="EE111" s="90"/>
      <c r="EF111" s="88"/>
      <c r="EG111" s="88"/>
      <c r="EH111" s="88"/>
      <c r="EI111" s="88"/>
      <c r="EJ111" s="88"/>
      <c r="EK111" s="88"/>
      <c r="EL111" s="88"/>
      <c r="EM111" s="88"/>
      <c r="EN111" s="88"/>
      <c r="EO111" s="88"/>
      <c r="EP111" s="88"/>
      <c r="EQ111" s="88"/>
      <c r="ER111" s="88"/>
      <c r="ES111" s="88"/>
      <c r="ET111" s="88"/>
      <c r="EU111" s="88"/>
      <c r="EV111" s="88"/>
      <c r="EW111" s="88"/>
      <c r="EX111" s="88"/>
      <c r="EY111" s="88"/>
      <c r="EZ111" s="88"/>
      <c r="FA111" s="88"/>
      <c r="FB111" s="88"/>
      <c r="FC111" s="88"/>
      <c r="FD111" s="88"/>
      <c r="FE111" s="88"/>
      <c r="FF111" s="88"/>
      <c r="FG111" s="88"/>
      <c r="FH111" s="88"/>
      <c r="FI111" s="89"/>
      <c r="FJ111" s="90"/>
      <c r="FK111" s="88"/>
      <c r="FL111" s="88"/>
      <c r="FM111" s="88"/>
      <c r="FN111" s="88"/>
      <c r="FO111" s="88"/>
      <c r="FP111" s="88"/>
      <c r="FQ111" s="88"/>
      <c r="FR111" s="88"/>
      <c r="FS111" s="88"/>
      <c r="FT111" s="88"/>
      <c r="FU111" s="88"/>
      <c r="FV111" s="88"/>
      <c r="FW111" s="88"/>
      <c r="FX111" s="88"/>
      <c r="FY111" s="88"/>
      <c r="FZ111" s="88"/>
      <c r="GA111" s="88"/>
      <c r="GB111" s="88"/>
      <c r="GC111" s="88"/>
      <c r="GD111" s="88"/>
      <c r="GE111" s="88"/>
      <c r="GF111" s="88"/>
      <c r="GG111" s="88"/>
      <c r="GH111" s="88"/>
      <c r="GI111" s="88"/>
      <c r="GJ111" s="88"/>
      <c r="GK111" s="88"/>
      <c r="GL111" s="88"/>
      <c r="GM111" s="88"/>
      <c r="GN111" s="89"/>
      <c r="GO111" s="90"/>
      <c r="GP111" s="88"/>
      <c r="GQ111" s="88"/>
      <c r="GR111" s="88"/>
      <c r="GS111" s="88"/>
      <c r="GT111" s="88"/>
      <c r="GU111" s="88"/>
      <c r="GV111" s="88"/>
      <c r="GW111" s="88"/>
      <c r="GX111" s="88"/>
      <c r="GY111" s="88"/>
      <c r="GZ111" s="88"/>
      <c r="HA111" s="88"/>
      <c r="HB111" s="88"/>
      <c r="HC111" s="88"/>
      <c r="HD111" s="88"/>
      <c r="HE111" s="88"/>
      <c r="HF111" s="88"/>
      <c r="HG111" s="88"/>
      <c r="HH111" s="88"/>
      <c r="HI111" s="88"/>
      <c r="HJ111" s="88"/>
      <c r="HK111" s="88"/>
      <c r="HL111" s="88"/>
      <c r="HM111" s="88"/>
      <c r="HN111" s="88"/>
      <c r="HO111" s="92"/>
      <c r="HP111" s="87"/>
      <c r="HQ111" s="88"/>
      <c r="HR111" s="89"/>
      <c r="HS111" s="90"/>
      <c r="HT111" s="88"/>
      <c r="HU111" s="88"/>
      <c r="HV111" s="88"/>
      <c r="HW111" s="88"/>
      <c r="HX111" s="88"/>
      <c r="HY111" s="88"/>
      <c r="HZ111" s="88"/>
      <c r="IA111" s="88"/>
      <c r="IB111" s="88"/>
      <c r="IC111" s="88"/>
      <c r="ID111" s="88"/>
      <c r="IE111" s="88"/>
      <c r="IF111" s="88"/>
      <c r="IG111" s="88"/>
      <c r="IH111" s="88"/>
      <c r="II111" s="88"/>
      <c r="IJ111" s="88"/>
      <c r="IK111" s="88"/>
      <c r="IL111" s="88"/>
      <c r="IM111" s="88"/>
      <c r="IN111" s="88"/>
      <c r="IO111" s="88"/>
      <c r="IP111" s="88"/>
      <c r="IQ111" s="88"/>
      <c r="IR111" s="88"/>
      <c r="IS111" s="88"/>
      <c r="IT111" s="88"/>
      <c r="IU111" s="88"/>
      <c r="IV111" s="88"/>
      <c r="IW111" s="89"/>
      <c r="IX111" s="92"/>
      <c r="IY111" s="87"/>
      <c r="IZ111" s="88"/>
      <c r="JA111" s="88"/>
      <c r="JB111" s="88"/>
      <c r="JC111" s="88"/>
      <c r="JD111" s="88"/>
      <c r="JE111" s="88"/>
      <c r="JF111" s="88"/>
      <c r="JG111" s="88"/>
      <c r="JH111" s="88"/>
      <c r="JI111" s="88"/>
      <c r="JJ111" s="88"/>
      <c r="JK111" s="88"/>
      <c r="JL111" s="88"/>
      <c r="JM111" s="88"/>
      <c r="JN111" s="88"/>
      <c r="JO111" s="88"/>
      <c r="JP111" s="88"/>
      <c r="JQ111" s="88"/>
      <c r="JR111" s="88"/>
      <c r="JS111" s="88"/>
      <c r="JT111" s="88"/>
      <c r="JU111" s="88"/>
      <c r="JV111" s="88"/>
      <c r="JW111" s="88"/>
      <c r="JX111" s="88"/>
      <c r="JY111" s="88"/>
      <c r="JZ111" s="88"/>
      <c r="KA111" s="89"/>
      <c r="KB111" s="90"/>
      <c r="KC111" s="88"/>
      <c r="KD111" s="88"/>
      <c r="KE111" s="88"/>
      <c r="KF111" s="88"/>
      <c r="KG111" s="88"/>
    </row>
    <row r="112" customFormat="false" ht="22.5" hidden="false" customHeight="true" outlineLevel="1" collapsed="false">
      <c r="B112" s="75" t="s">
        <v>314</v>
      </c>
      <c r="C112" s="217" t="s">
        <v>315</v>
      </c>
      <c r="D112" s="127" t="s">
        <v>316</v>
      </c>
      <c r="E112" s="218" t="n">
        <v>2</v>
      </c>
      <c r="F112" s="219" t="n">
        <v>2</v>
      </c>
      <c r="G112" s="220" t="n">
        <f aca="false">E112-F112</f>
        <v>0</v>
      </c>
      <c r="H112" s="221" t="n">
        <v>1</v>
      </c>
      <c r="I112" s="222" t="n">
        <v>5.3</v>
      </c>
      <c r="J112" s="134" t="n">
        <v>46223</v>
      </c>
      <c r="K112" s="134" t="n">
        <v>46225</v>
      </c>
      <c r="L112" s="143" t="n">
        <f aca="false">K112-J112</f>
        <v>2</v>
      </c>
      <c r="M112" s="224" t="n">
        <f aca="false">IFERROR(F112/E112,"")</f>
        <v>1</v>
      </c>
      <c r="N112" s="225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  <c r="AA112" s="226"/>
      <c r="AB112" s="226"/>
      <c r="AC112" s="226"/>
      <c r="AD112" s="226"/>
      <c r="AE112" s="226"/>
      <c r="AF112" s="226"/>
      <c r="AG112" s="226"/>
      <c r="AH112" s="226"/>
      <c r="AI112" s="226"/>
      <c r="AJ112" s="227"/>
      <c r="AK112" s="228"/>
      <c r="AL112" s="226"/>
      <c r="AM112" s="226"/>
      <c r="AN112" s="226"/>
      <c r="AO112" s="226"/>
      <c r="AP112" s="226"/>
      <c r="AQ112" s="226"/>
      <c r="AR112" s="226"/>
      <c r="AS112" s="226"/>
      <c r="AT112" s="226"/>
      <c r="AU112" s="226"/>
      <c r="AV112" s="226"/>
      <c r="AW112" s="226"/>
      <c r="AX112" s="226"/>
      <c r="AY112" s="226"/>
      <c r="AZ112" s="226"/>
      <c r="BA112" s="226"/>
      <c r="BB112" s="226"/>
      <c r="BC112" s="226"/>
      <c r="BD112" s="226"/>
      <c r="BE112" s="226"/>
      <c r="BF112" s="226"/>
      <c r="BG112" s="226"/>
      <c r="BH112" s="226"/>
      <c r="BI112" s="226"/>
      <c r="BJ112" s="226"/>
      <c r="BK112" s="226"/>
      <c r="BL112" s="226"/>
      <c r="BM112" s="226"/>
      <c r="BN112" s="227"/>
      <c r="BO112" s="228"/>
      <c r="BP112" s="226"/>
      <c r="BQ112" s="226"/>
      <c r="BR112" s="226"/>
      <c r="BS112" s="226"/>
      <c r="BT112" s="226"/>
      <c r="BU112" s="226"/>
      <c r="BV112" s="226"/>
      <c r="BW112" s="226"/>
      <c r="BX112" s="226"/>
      <c r="BY112" s="226"/>
      <c r="BZ112" s="226"/>
      <c r="CA112" s="226"/>
      <c r="CB112" s="226"/>
      <c r="CC112" s="226"/>
      <c r="CD112" s="226"/>
      <c r="CE112" s="226"/>
      <c r="CF112" s="226"/>
      <c r="CG112" s="226"/>
      <c r="CH112" s="226"/>
      <c r="CI112" s="226"/>
      <c r="CJ112" s="226"/>
      <c r="CK112" s="226"/>
      <c r="CL112" s="226"/>
      <c r="CM112" s="226"/>
      <c r="CN112" s="226"/>
      <c r="CO112" s="226"/>
      <c r="CP112" s="226"/>
      <c r="CQ112" s="226"/>
      <c r="CR112" s="226"/>
      <c r="CS112" s="229"/>
      <c r="CT112" s="228"/>
      <c r="CU112" s="226"/>
      <c r="CV112" s="226"/>
      <c r="CW112" s="226"/>
      <c r="CX112" s="226"/>
      <c r="CY112" s="226"/>
      <c r="CZ112" s="226"/>
      <c r="DA112" s="226"/>
      <c r="DB112" s="226"/>
      <c r="DC112" s="226"/>
      <c r="DD112" s="226"/>
      <c r="DE112" s="226"/>
      <c r="DF112" s="226"/>
      <c r="DG112" s="226"/>
      <c r="DH112" s="226"/>
      <c r="DI112" s="226"/>
      <c r="DJ112" s="226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30"/>
      <c r="DV112" s="225"/>
      <c r="DW112" s="226"/>
      <c r="DX112" s="226"/>
      <c r="DY112" s="226"/>
      <c r="DZ112" s="226"/>
      <c r="EA112" s="226"/>
      <c r="EB112" s="226"/>
      <c r="EC112" s="226"/>
      <c r="ED112" s="227"/>
      <c r="EE112" s="228"/>
      <c r="EF112" s="226"/>
      <c r="EG112" s="226"/>
      <c r="EH112" s="226"/>
      <c r="EI112" s="226"/>
      <c r="EJ112" s="226"/>
      <c r="EK112" s="226"/>
      <c r="EL112" s="226"/>
      <c r="EM112" s="226"/>
      <c r="EN112" s="226"/>
      <c r="EO112" s="226"/>
      <c r="EP112" s="226"/>
      <c r="EQ112" s="226"/>
      <c r="ER112" s="226"/>
      <c r="ES112" s="226"/>
      <c r="ET112" s="226"/>
      <c r="EU112" s="226"/>
      <c r="EV112" s="226"/>
      <c r="EW112" s="226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226"/>
      <c r="FH112" s="226"/>
      <c r="FI112" s="227"/>
      <c r="FJ112" s="228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226"/>
      <c r="FU112" s="226"/>
      <c r="FV112" s="226"/>
      <c r="FW112" s="226"/>
      <c r="FX112" s="226"/>
      <c r="FY112" s="226"/>
      <c r="FZ112" s="226"/>
      <c r="GA112" s="226"/>
      <c r="GB112" s="226"/>
      <c r="GC112" s="226"/>
      <c r="GD112" s="226"/>
      <c r="GE112" s="226"/>
      <c r="GF112" s="226"/>
      <c r="GG112" s="226"/>
      <c r="GH112" s="226"/>
      <c r="GI112" s="226"/>
      <c r="GJ112" s="226"/>
      <c r="GK112" s="226"/>
      <c r="GL112" s="226"/>
      <c r="GM112" s="226"/>
      <c r="GN112" s="227"/>
      <c r="GO112" s="228"/>
      <c r="GP112" s="226"/>
      <c r="GQ112" s="226"/>
      <c r="GR112" s="226"/>
      <c r="GS112" s="226"/>
      <c r="GT112" s="226"/>
      <c r="GU112" s="226"/>
      <c r="GV112" s="226"/>
      <c r="GW112" s="226"/>
      <c r="GX112" s="226"/>
      <c r="GY112" s="226"/>
      <c r="GZ112" s="226"/>
      <c r="HA112" s="226"/>
      <c r="HB112" s="226"/>
      <c r="HC112" s="226"/>
      <c r="HD112" s="226"/>
      <c r="HE112" s="226"/>
      <c r="HF112" s="226"/>
      <c r="HG112" s="226"/>
      <c r="HH112" s="226"/>
      <c r="HI112" s="226"/>
      <c r="HJ112" s="226"/>
      <c r="HK112" s="226"/>
      <c r="HL112" s="226"/>
      <c r="HM112" s="226"/>
      <c r="HN112" s="226"/>
      <c r="HO112" s="230"/>
      <c r="HP112" s="225"/>
      <c r="HQ112" s="226"/>
      <c r="HR112" s="227"/>
      <c r="HS112" s="228"/>
      <c r="HT112" s="226"/>
      <c r="HU112" s="226"/>
      <c r="HV112" s="226"/>
      <c r="HW112" s="226"/>
      <c r="HX112" s="226"/>
      <c r="HY112" s="226"/>
      <c r="HZ112" s="226"/>
      <c r="IA112" s="226"/>
      <c r="IB112" s="226"/>
      <c r="IC112" s="226"/>
      <c r="ID112" s="226"/>
      <c r="IE112" s="226"/>
      <c r="IF112" s="226"/>
      <c r="IG112" s="226"/>
      <c r="IH112" s="226"/>
      <c r="II112" s="226"/>
      <c r="IJ112" s="226"/>
      <c r="IK112" s="226"/>
      <c r="IL112" s="226"/>
      <c r="IM112" s="226"/>
      <c r="IN112" s="226"/>
      <c r="IO112" s="226"/>
      <c r="IP112" s="226"/>
      <c r="IQ112" s="226"/>
      <c r="IR112" s="226"/>
      <c r="IS112" s="226"/>
      <c r="IT112" s="226"/>
      <c r="IU112" s="226"/>
      <c r="IV112" s="226"/>
      <c r="IW112" s="227"/>
      <c r="IX112" s="230"/>
      <c r="IY112" s="225"/>
      <c r="IZ112" s="226"/>
      <c r="JA112" s="226"/>
      <c r="JB112" s="226"/>
      <c r="JC112" s="226"/>
      <c r="JD112" s="226"/>
      <c r="JE112" s="226"/>
      <c r="JF112" s="226"/>
      <c r="JG112" s="226"/>
      <c r="JH112" s="226"/>
      <c r="JI112" s="226"/>
      <c r="JJ112" s="226"/>
      <c r="JK112" s="226"/>
      <c r="JL112" s="226"/>
      <c r="JM112" s="226"/>
      <c r="JN112" s="226"/>
      <c r="JO112" s="226"/>
      <c r="JP112" s="226"/>
      <c r="JQ112" s="226"/>
      <c r="JR112" s="226"/>
      <c r="JS112" s="226"/>
      <c r="JT112" s="226"/>
      <c r="JU112" s="226"/>
      <c r="JV112" s="226"/>
      <c r="JW112" s="226"/>
      <c r="JX112" s="226"/>
      <c r="JY112" s="226"/>
      <c r="JZ112" s="226"/>
      <c r="KA112" s="227"/>
      <c r="KB112" s="228"/>
      <c r="KC112" s="226"/>
      <c r="KD112" s="226"/>
      <c r="KE112" s="226"/>
      <c r="KF112" s="226"/>
      <c r="KG112" s="226"/>
    </row>
    <row r="113" customFormat="false" ht="22.5" hidden="false" customHeight="true" outlineLevel="1" collapsed="false">
      <c r="B113" s="75" t="s">
        <v>317</v>
      </c>
      <c r="C113" s="217" t="s">
        <v>318</v>
      </c>
      <c r="D113" s="127" t="s">
        <v>234</v>
      </c>
      <c r="E113" s="218" t="n">
        <v>1</v>
      </c>
      <c r="F113" s="219" t="n">
        <v>1</v>
      </c>
      <c r="G113" s="220" t="n">
        <f aca="false">E113-F113</f>
        <v>0</v>
      </c>
      <c r="H113" s="221" t="n">
        <v>2</v>
      </c>
      <c r="I113" s="222" t="n">
        <v>5.4</v>
      </c>
      <c r="J113" s="134" t="n">
        <v>46273</v>
      </c>
      <c r="K113" s="134" t="n">
        <v>46274</v>
      </c>
      <c r="L113" s="143" t="n">
        <f aca="false">K113-J113</f>
        <v>1</v>
      </c>
      <c r="M113" s="224" t="n">
        <f aca="false">IFERROR(F113/E113,"")</f>
        <v>1</v>
      </c>
      <c r="N113" s="225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  <c r="AA113" s="226"/>
      <c r="AB113" s="226"/>
      <c r="AC113" s="226"/>
      <c r="AD113" s="226"/>
      <c r="AE113" s="226"/>
      <c r="AF113" s="226"/>
      <c r="AG113" s="226"/>
      <c r="AH113" s="226"/>
      <c r="AI113" s="226"/>
      <c r="AJ113" s="227"/>
      <c r="AK113" s="228"/>
      <c r="AL113" s="226"/>
      <c r="AM113" s="226"/>
      <c r="AN113" s="226"/>
      <c r="AO113" s="226"/>
      <c r="AP113" s="226"/>
      <c r="AQ113" s="226"/>
      <c r="AR113" s="226"/>
      <c r="AS113" s="226"/>
      <c r="AT113" s="226"/>
      <c r="AU113" s="226"/>
      <c r="AV113" s="226"/>
      <c r="AW113" s="226"/>
      <c r="AX113" s="226"/>
      <c r="AY113" s="226"/>
      <c r="AZ113" s="226"/>
      <c r="BA113" s="226"/>
      <c r="BB113" s="226"/>
      <c r="BC113" s="226"/>
      <c r="BD113" s="226"/>
      <c r="BE113" s="226"/>
      <c r="BF113" s="226"/>
      <c r="BG113" s="226"/>
      <c r="BH113" s="226"/>
      <c r="BI113" s="226"/>
      <c r="BJ113" s="226"/>
      <c r="BK113" s="226"/>
      <c r="BL113" s="226"/>
      <c r="BM113" s="226"/>
      <c r="BN113" s="227"/>
      <c r="BO113" s="228"/>
      <c r="BP113" s="226"/>
      <c r="BQ113" s="226"/>
      <c r="BR113" s="226"/>
      <c r="BS113" s="226"/>
      <c r="BT113" s="226"/>
      <c r="BU113" s="226"/>
      <c r="BV113" s="226"/>
      <c r="BW113" s="226"/>
      <c r="BX113" s="226"/>
      <c r="BY113" s="226"/>
      <c r="BZ113" s="226"/>
      <c r="CA113" s="226"/>
      <c r="CB113" s="226"/>
      <c r="CC113" s="226"/>
      <c r="CD113" s="226"/>
      <c r="CE113" s="226"/>
      <c r="CF113" s="226"/>
      <c r="CG113" s="226"/>
      <c r="CH113" s="226"/>
      <c r="CI113" s="226"/>
      <c r="CJ113" s="226"/>
      <c r="CK113" s="226"/>
      <c r="CL113" s="226"/>
      <c r="CM113" s="226"/>
      <c r="CN113" s="226"/>
      <c r="CO113" s="226"/>
      <c r="CP113" s="226"/>
      <c r="CQ113" s="226"/>
      <c r="CR113" s="226"/>
      <c r="CS113" s="229"/>
      <c r="CT113" s="228"/>
      <c r="CU113" s="226"/>
      <c r="CV113" s="226"/>
      <c r="CW113" s="226"/>
      <c r="CX113" s="226"/>
      <c r="CY113" s="226"/>
      <c r="CZ113" s="226"/>
      <c r="DA113" s="226"/>
      <c r="DB113" s="226"/>
      <c r="DC113" s="226"/>
      <c r="DD113" s="226"/>
      <c r="DE113" s="226"/>
      <c r="DF113" s="226"/>
      <c r="DG113" s="226"/>
      <c r="DH113" s="226"/>
      <c r="DI113" s="226"/>
      <c r="DJ113" s="226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30"/>
      <c r="DV113" s="225"/>
      <c r="DW113" s="226"/>
      <c r="DX113" s="226"/>
      <c r="DY113" s="226"/>
      <c r="DZ113" s="226"/>
      <c r="EA113" s="226"/>
      <c r="EB113" s="226"/>
      <c r="EC113" s="226"/>
      <c r="ED113" s="227"/>
      <c r="EE113" s="228"/>
      <c r="EF113" s="226"/>
      <c r="EG113" s="226"/>
      <c r="EH113" s="226"/>
      <c r="EI113" s="226"/>
      <c r="EJ113" s="226"/>
      <c r="EK113" s="226"/>
      <c r="EL113" s="226"/>
      <c r="EM113" s="226"/>
      <c r="EN113" s="226"/>
      <c r="EO113" s="226"/>
      <c r="EP113" s="226"/>
      <c r="EQ113" s="226"/>
      <c r="ER113" s="226"/>
      <c r="ES113" s="226"/>
      <c r="ET113" s="226"/>
      <c r="EU113" s="226"/>
      <c r="EV113" s="226"/>
      <c r="EW113" s="226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226"/>
      <c r="FH113" s="226"/>
      <c r="FI113" s="227"/>
      <c r="FJ113" s="228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226"/>
      <c r="FU113" s="226"/>
      <c r="FV113" s="226"/>
      <c r="FW113" s="226"/>
      <c r="FX113" s="226"/>
      <c r="FY113" s="226"/>
      <c r="FZ113" s="226"/>
      <c r="GA113" s="226"/>
      <c r="GB113" s="226"/>
      <c r="GC113" s="226"/>
      <c r="GD113" s="226"/>
      <c r="GE113" s="226"/>
      <c r="GF113" s="226"/>
      <c r="GG113" s="226"/>
      <c r="GH113" s="226"/>
      <c r="GI113" s="226"/>
      <c r="GJ113" s="226"/>
      <c r="GK113" s="226"/>
      <c r="GL113" s="226"/>
      <c r="GM113" s="226"/>
      <c r="GN113" s="227"/>
      <c r="GO113" s="228"/>
      <c r="GP113" s="226"/>
      <c r="GQ113" s="226"/>
      <c r="GR113" s="226"/>
      <c r="GS113" s="226"/>
      <c r="GT113" s="226"/>
      <c r="GU113" s="226"/>
      <c r="GV113" s="226"/>
      <c r="GW113" s="226"/>
      <c r="GX113" s="226"/>
      <c r="GY113" s="226"/>
      <c r="GZ113" s="226"/>
      <c r="HA113" s="226"/>
      <c r="HB113" s="226"/>
      <c r="HC113" s="226"/>
      <c r="HD113" s="226"/>
      <c r="HE113" s="226"/>
      <c r="HF113" s="226"/>
      <c r="HG113" s="226"/>
      <c r="HH113" s="226"/>
      <c r="HI113" s="226"/>
      <c r="HJ113" s="226"/>
      <c r="HK113" s="226"/>
      <c r="HL113" s="226"/>
      <c r="HM113" s="226"/>
      <c r="HN113" s="226"/>
      <c r="HO113" s="230"/>
      <c r="HP113" s="225"/>
      <c r="HQ113" s="226"/>
      <c r="HR113" s="227"/>
      <c r="HS113" s="228"/>
      <c r="HT113" s="226"/>
      <c r="HU113" s="226"/>
      <c r="HV113" s="226"/>
      <c r="HW113" s="226"/>
      <c r="HX113" s="226"/>
      <c r="HY113" s="226"/>
      <c r="HZ113" s="226"/>
      <c r="IA113" s="226"/>
      <c r="IB113" s="226"/>
      <c r="IC113" s="226"/>
      <c r="ID113" s="226"/>
      <c r="IE113" s="226"/>
      <c r="IF113" s="226"/>
      <c r="IG113" s="226"/>
      <c r="IH113" s="226"/>
      <c r="II113" s="226"/>
      <c r="IJ113" s="226"/>
      <c r="IK113" s="226"/>
      <c r="IL113" s="226"/>
      <c r="IM113" s="226"/>
      <c r="IN113" s="226"/>
      <c r="IO113" s="226"/>
      <c r="IP113" s="226"/>
      <c r="IQ113" s="226"/>
      <c r="IR113" s="226"/>
      <c r="IS113" s="226"/>
      <c r="IT113" s="226"/>
      <c r="IU113" s="226"/>
      <c r="IV113" s="226"/>
      <c r="IW113" s="227"/>
      <c r="IX113" s="230"/>
      <c r="IY113" s="225"/>
      <c r="IZ113" s="226"/>
      <c r="JA113" s="226"/>
      <c r="JB113" s="226"/>
      <c r="JC113" s="226"/>
      <c r="JD113" s="226"/>
      <c r="JE113" s="226"/>
      <c r="JF113" s="226"/>
      <c r="JG113" s="226"/>
      <c r="JH113" s="226"/>
      <c r="JI113" s="226"/>
      <c r="JJ113" s="226"/>
      <c r="JK113" s="226"/>
      <c r="JL113" s="226"/>
      <c r="JM113" s="226"/>
      <c r="JN113" s="226"/>
      <c r="JO113" s="226"/>
      <c r="JP113" s="226"/>
      <c r="JQ113" s="226"/>
      <c r="JR113" s="226"/>
      <c r="JS113" s="226"/>
      <c r="JT113" s="226"/>
      <c r="JU113" s="226"/>
      <c r="JV113" s="226"/>
      <c r="JW113" s="226"/>
      <c r="JX113" s="226"/>
      <c r="JY113" s="226"/>
      <c r="JZ113" s="226"/>
      <c r="KA113" s="227"/>
      <c r="KB113" s="228"/>
      <c r="KC113" s="226"/>
      <c r="KD113" s="226"/>
      <c r="KE113" s="226"/>
      <c r="KF113" s="226"/>
      <c r="KG113" s="226"/>
    </row>
    <row r="114" customFormat="false" ht="22.5" hidden="false" customHeight="true" outlineLevel="1" collapsed="false">
      <c r="B114" s="75" t="s">
        <v>319</v>
      </c>
      <c r="C114" s="217" t="s">
        <v>320</v>
      </c>
      <c r="D114" s="127" t="s">
        <v>321</v>
      </c>
      <c r="E114" s="218" t="n">
        <v>3</v>
      </c>
      <c r="F114" s="219" t="n">
        <v>0</v>
      </c>
      <c r="G114" s="220" t="n">
        <f aca="false">E114-F114</f>
        <v>3</v>
      </c>
      <c r="H114" s="221" t="n">
        <v>2</v>
      </c>
      <c r="I114" s="222" t="s">
        <v>322</v>
      </c>
      <c r="J114" s="134" t="n">
        <v>46276</v>
      </c>
      <c r="K114" s="134" t="n">
        <v>46277</v>
      </c>
      <c r="L114" s="143" t="n">
        <f aca="false">K114-J114</f>
        <v>1</v>
      </c>
      <c r="M114" s="224" t="n">
        <f aca="false">IFERROR(F114/E114,"")</f>
        <v>0</v>
      </c>
      <c r="N114" s="225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  <c r="AA114" s="226"/>
      <c r="AB114" s="226"/>
      <c r="AC114" s="226"/>
      <c r="AD114" s="226"/>
      <c r="AE114" s="226"/>
      <c r="AF114" s="226"/>
      <c r="AG114" s="226"/>
      <c r="AH114" s="226"/>
      <c r="AI114" s="226"/>
      <c r="AJ114" s="227"/>
      <c r="AK114" s="228"/>
      <c r="AL114" s="226"/>
      <c r="AM114" s="226"/>
      <c r="AN114" s="226"/>
      <c r="AO114" s="226"/>
      <c r="AP114" s="226"/>
      <c r="AQ114" s="226"/>
      <c r="AR114" s="226"/>
      <c r="AS114" s="226"/>
      <c r="AT114" s="226"/>
      <c r="AU114" s="226"/>
      <c r="AV114" s="226"/>
      <c r="AW114" s="226"/>
      <c r="AX114" s="226"/>
      <c r="AY114" s="226"/>
      <c r="AZ114" s="226"/>
      <c r="BA114" s="226"/>
      <c r="BB114" s="226"/>
      <c r="BC114" s="226"/>
      <c r="BD114" s="226"/>
      <c r="BE114" s="226"/>
      <c r="BF114" s="226"/>
      <c r="BG114" s="226"/>
      <c r="BH114" s="226"/>
      <c r="BI114" s="226"/>
      <c r="BJ114" s="226"/>
      <c r="BK114" s="226"/>
      <c r="BL114" s="226"/>
      <c r="BM114" s="226"/>
      <c r="BN114" s="227"/>
      <c r="BO114" s="228"/>
      <c r="BP114" s="226"/>
      <c r="BQ114" s="226"/>
      <c r="BR114" s="226"/>
      <c r="BS114" s="226"/>
      <c r="BT114" s="226"/>
      <c r="BU114" s="226"/>
      <c r="BV114" s="226"/>
      <c r="BW114" s="226"/>
      <c r="BX114" s="226"/>
      <c r="BY114" s="226"/>
      <c r="BZ114" s="226"/>
      <c r="CA114" s="226"/>
      <c r="CB114" s="226"/>
      <c r="CC114" s="226"/>
      <c r="CD114" s="226"/>
      <c r="CE114" s="226"/>
      <c r="CF114" s="226"/>
      <c r="CG114" s="226"/>
      <c r="CH114" s="226"/>
      <c r="CI114" s="226"/>
      <c r="CJ114" s="226"/>
      <c r="CK114" s="226"/>
      <c r="CL114" s="226"/>
      <c r="CM114" s="226"/>
      <c r="CN114" s="226"/>
      <c r="CO114" s="226"/>
      <c r="CP114" s="226"/>
      <c r="CQ114" s="226"/>
      <c r="CR114" s="226"/>
      <c r="CS114" s="229"/>
      <c r="CT114" s="228"/>
      <c r="CU114" s="226"/>
      <c r="CV114" s="226"/>
      <c r="CW114" s="226"/>
      <c r="CX114" s="226"/>
      <c r="CY114" s="226"/>
      <c r="CZ114" s="226"/>
      <c r="DA114" s="226"/>
      <c r="DB114" s="226"/>
      <c r="DC114" s="226"/>
      <c r="DD114" s="226"/>
      <c r="DE114" s="226"/>
      <c r="DF114" s="226"/>
      <c r="DG114" s="226"/>
      <c r="DH114" s="226"/>
      <c r="DI114" s="226"/>
      <c r="DJ114" s="226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30"/>
      <c r="DV114" s="225"/>
      <c r="DW114" s="226"/>
      <c r="DX114" s="226"/>
      <c r="DY114" s="226"/>
      <c r="DZ114" s="226"/>
      <c r="EA114" s="226"/>
      <c r="EB114" s="226"/>
      <c r="EC114" s="226"/>
      <c r="ED114" s="227"/>
      <c r="EE114" s="228"/>
      <c r="EF114" s="226"/>
      <c r="EG114" s="226"/>
      <c r="EH114" s="226"/>
      <c r="EI114" s="226"/>
      <c r="EJ114" s="226"/>
      <c r="EK114" s="226"/>
      <c r="EL114" s="226"/>
      <c r="EM114" s="226"/>
      <c r="EN114" s="226"/>
      <c r="EO114" s="226"/>
      <c r="EP114" s="226"/>
      <c r="EQ114" s="226"/>
      <c r="ER114" s="226"/>
      <c r="ES114" s="226"/>
      <c r="ET114" s="226"/>
      <c r="EU114" s="226"/>
      <c r="EV114" s="226"/>
      <c r="EW114" s="226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226"/>
      <c r="FH114" s="226"/>
      <c r="FI114" s="227"/>
      <c r="FJ114" s="228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226"/>
      <c r="FU114" s="226"/>
      <c r="FV114" s="226"/>
      <c r="FW114" s="226"/>
      <c r="FX114" s="226"/>
      <c r="FY114" s="226"/>
      <c r="FZ114" s="226"/>
      <c r="GA114" s="226"/>
      <c r="GB114" s="226"/>
      <c r="GC114" s="226"/>
      <c r="GD114" s="226"/>
      <c r="GE114" s="226"/>
      <c r="GF114" s="226"/>
      <c r="GG114" s="226"/>
      <c r="GH114" s="226"/>
      <c r="GI114" s="226"/>
      <c r="GJ114" s="226"/>
      <c r="GK114" s="226"/>
      <c r="GL114" s="226"/>
      <c r="GM114" s="226"/>
      <c r="GN114" s="227"/>
      <c r="GO114" s="228"/>
      <c r="GP114" s="226"/>
      <c r="GQ114" s="226"/>
      <c r="GR114" s="226"/>
      <c r="GS114" s="226"/>
      <c r="GT114" s="226"/>
      <c r="GU114" s="226"/>
      <c r="GV114" s="226"/>
      <c r="GW114" s="226"/>
      <c r="GX114" s="226"/>
      <c r="GY114" s="226"/>
      <c r="GZ114" s="226"/>
      <c r="HA114" s="226"/>
      <c r="HB114" s="226"/>
      <c r="HC114" s="226"/>
      <c r="HD114" s="226"/>
      <c r="HE114" s="226"/>
      <c r="HF114" s="226"/>
      <c r="HG114" s="226"/>
      <c r="HH114" s="226"/>
      <c r="HI114" s="226"/>
      <c r="HJ114" s="226"/>
      <c r="HK114" s="226"/>
      <c r="HL114" s="226"/>
      <c r="HM114" s="226"/>
      <c r="HN114" s="226"/>
      <c r="HO114" s="230"/>
      <c r="HP114" s="225"/>
      <c r="HQ114" s="226"/>
      <c r="HR114" s="227"/>
      <c r="HS114" s="228"/>
      <c r="HT114" s="226"/>
      <c r="HU114" s="226"/>
      <c r="HV114" s="226"/>
      <c r="HW114" s="226"/>
      <c r="HX114" s="226"/>
      <c r="HY114" s="226"/>
      <c r="HZ114" s="226"/>
      <c r="IA114" s="226"/>
      <c r="IB114" s="226"/>
      <c r="IC114" s="226"/>
      <c r="ID114" s="226"/>
      <c r="IE114" s="226"/>
      <c r="IF114" s="226"/>
      <c r="IG114" s="226"/>
      <c r="IH114" s="226"/>
      <c r="II114" s="226"/>
      <c r="IJ114" s="226"/>
      <c r="IK114" s="226"/>
      <c r="IL114" s="226"/>
      <c r="IM114" s="226"/>
      <c r="IN114" s="226"/>
      <c r="IO114" s="226"/>
      <c r="IP114" s="226"/>
      <c r="IQ114" s="226"/>
      <c r="IR114" s="226"/>
      <c r="IS114" s="226"/>
      <c r="IT114" s="226"/>
      <c r="IU114" s="226"/>
      <c r="IV114" s="226"/>
      <c r="IW114" s="227"/>
      <c r="IX114" s="230"/>
      <c r="IY114" s="225"/>
      <c r="IZ114" s="226"/>
      <c r="JA114" s="226"/>
      <c r="JB114" s="226"/>
      <c r="JC114" s="226"/>
      <c r="JD114" s="226"/>
      <c r="JE114" s="226"/>
      <c r="JF114" s="226"/>
      <c r="JG114" s="226"/>
      <c r="JH114" s="226"/>
      <c r="JI114" s="226"/>
      <c r="JJ114" s="226"/>
      <c r="JK114" s="226"/>
      <c r="JL114" s="226"/>
      <c r="JM114" s="226"/>
      <c r="JN114" s="226"/>
      <c r="JO114" s="226"/>
      <c r="JP114" s="226"/>
      <c r="JQ114" s="226"/>
      <c r="JR114" s="226"/>
      <c r="JS114" s="226"/>
      <c r="JT114" s="226"/>
      <c r="JU114" s="226"/>
      <c r="JV114" s="226"/>
      <c r="JW114" s="226"/>
      <c r="JX114" s="226"/>
      <c r="JY114" s="226"/>
      <c r="JZ114" s="226"/>
      <c r="KA114" s="227"/>
      <c r="KB114" s="228"/>
      <c r="KC114" s="226"/>
      <c r="KD114" s="226"/>
      <c r="KE114" s="226"/>
      <c r="KF114" s="226"/>
      <c r="KG114" s="226"/>
    </row>
    <row r="115" customFormat="false" ht="22.5" hidden="false" customHeight="true" outlineLevel="1" collapsed="false">
      <c r="B115" s="75" t="s">
        <v>323</v>
      </c>
      <c r="C115" s="217" t="s">
        <v>324</v>
      </c>
      <c r="D115" s="127" t="s">
        <v>240</v>
      </c>
      <c r="E115" s="218" t="n">
        <v>2</v>
      </c>
      <c r="F115" s="219" t="n">
        <v>0</v>
      </c>
      <c r="G115" s="220" t="n">
        <f aca="false">E115-F115</f>
        <v>2</v>
      </c>
      <c r="H115" s="221" t="n">
        <v>2</v>
      </c>
      <c r="I115" s="222" t="n">
        <v>5.9</v>
      </c>
      <c r="J115" s="134" t="n">
        <v>46277</v>
      </c>
      <c r="K115" s="134" t="n">
        <v>46279</v>
      </c>
      <c r="L115" s="143" t="n">
        <f aca="false">K115-J115</f>
        <v>2</v>
      </c>
      <c r="M115" s="224" t="n">
        <f aca="false">IFERROR(F115/E115,"")</f>
        <v>0</v>
      </c>
      <c r="N115" s="225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  <c r="AA115" s="226"/>
      <c r="AB115" s="226"/>
      <c r="AC115" s="226"/>
      <c r="AD115" s="226"/>
      <c r="AE115" s="226"/>
      <c r="AF115" s="226"/>
      <c r="AG115" s="226"/>
      <c r="AH115" s="226"/>
      <c r="AI115" s="226"/>
      <c r="AJ115" s="227"/>
      <c r="AK115" s="228"/>
      <c r="AL115" s="226"/>
      <c r="AM115" s="226"/>
      <c r="AN115" s="226"/>
      <c r="AO115" s="226"/>
      <c r="AP115" s="226"/>
      <c r="AQ115" s="226"/>
      <c r="AR115" s="226"/>
      <c r="AS115" s="226"/>
      <c r="AT115" s="226"/>
      <c r="AU115" s="226"/>
      <c r="AV115" s="226"/>
      <c r="AW115" s="226"/>
      <c r="AX115" s="226"/>
      <c r="AY115" s="226"/>
      <c r="AZ115" s="226"/>
      <c r="BA115" s="226"/>
      <c r="BB115" s="226"/>
      <c r="BC115" s="226"/>
      <c r="BD115" s="226"/>
      <c r="BE115" s="226"/>
      <c r="BF115" s="226"/>
      <c r="BG115" s="226"/>
      <c r="BH115" s="226"/>
      <c r="BI115" s="226"/>
      <c r="BJ115" s="226"/>
      <c r="BK115" s="226"/>
      <c r="BL115" s="226"/>
      <c r="BM115" s="226"/>
      <c r="BN115" s="227"/>
      <c r="BO115" s="228"/>
      <c r="BP115" s="226"/>
      <c r="BQ115" s="226"/>
      <c r="BR115" s="226"/>
      <c r="BS115" s="226"/>
      <c r="BT115" s="226"/>
      <c r="BU115" s="226"/>
      <c r="BV115" s="226"/>
      <c r="BW115" s="226"/>
      <c r="BX115" s="226"/>
      <c r="BY115" s="226"/>
      <c r="BZ115" s="226"/>
      <c r="CA115" s="226"/>
      <c r="CB115" s="226"/>
      <c r="CC115" s="226"/>
      <c r="CD115" s="226"/>
      <c r="CE115" s="226"/>
      <c r="CF115" s="226"/>
      <c r="CG115" s="226"/>
      <c r="CH115" s="226"/>
      <c r="CI115" s="226"/>
      <c r="CJ115" s="226"/>
      <c r="CK115" s="226"/>
      <c r="CL115" s="226"/>
      <c r="CM115" s="226"/>
      <c r="CN115" s="226"/>
      <c r="CO115" s="226"/>
      <c r="CP115" s="226"/>
      <c r="CQ115" s="226"/>
      <c r="CR115" s="226"/>
      <c r="CS115" s="229"/>
      <c r="CT115" s="228"/>
      <c r="CU115" s="226"/>
      <c r="CV115" s="226"/>
      <c r="CW115" s="226"/>
      <c r="CX115" s="226"/>
      <c r="CY115" s="226"/>
      <c r="CZ115" s="226"/>
      <c r="DA115" s="226"/>
      <c r="DB115" s="226"/>
      <c r="DC115" s="226"/>
      <c r="DD115" s="226"/>
      <c r="DE115" s="226"/>
      <c r="DF115" s="226"/>
      <c r="DG115" s="226"/>
      <c r="DH115" s="226"/>
      <c r="DI115" s="226"/>
      <c r="DJ115" s="226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30"/>
      <c r="DV115" s="225"/>
      <c r="DW115" s="226"/>
      <c r="DX115" s="226"/>
      <c r="DY115" s="226"/>
      <c r="DZ115" s="226"/>
      <c r="EA115" s="226"/>
      <c r="EB115" s="226"/>
      <c r="EC115" s="226"/>
      <c r="ED115" s="227"/>
      <c r="EE115" s="228"/>
      <c r="EF115" s="226"/>
      <c r="EG115" s="226"/>
      <c r="EH115" s="226"/>
      <c r="EI115" s="226"/>
      <c r="EJ115" s="226"/>
      <c r="EK115" s="226"/>
      <c r="EL115" s="226"/>
      <c r="EM115" s="226"/>
      <c r="EN115" s="226"/>
      <c r="EO115" s="226"/>
      <c r="EP115" s="226"/>
      <c r="EQ115" s="226"/>
      <c r="ER115" s="226"/>
      <c r="ES115" s="226"/>
      <c r="ET115" s="226"/>
      <c r="EU115" s="226"/>
      <c r="EV115" s="226"/>
      <c r="EW115" s="226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226"/>
      <c r="FH115" s="226"/>
      <c r="FI115" s="227"/>
      <c r="FJ115" s="228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226"/>
      <c r="FU115" s="226"/>
      <c r="FV115" s="226"/>
      <c r="FW115" s="226"/>
      <c r="FX115" s="226"/>
      <c r="FY115" s="226"/>
      <c r="FZ115" s="226"/>
      <c r="GA115" s="226"/>
      <c r="GB115" s="226"/>
      <c r="GC115" s="226"/>
      <c r="GD115" s="226"/>
      <c r="GE115" s="226"/>
      <c r="GF115" s="226"/>
      <c r="GG115" s="226"/>
      <c r="GH115" s="226"/>
      <c r="GI115" s="226"/>
      <c r="GJ115" s="226"/>
      <c r="GK115" s="226"/>
      <c r="GL115" s="226"/>
      <c r="GM115" s="226"/>
      <c r="GN115" s="227"/>
      <c r="GO115" s="228"/>
      <c r="GP115" s="226"/>
      <c r="GQ115" s="226"/>
      <c r="GR115" s="226"/>
      <c r="GS115" s="226"/>
      <c r="GT115" s="226"/>
      <c r="GU115" s="226"/>
      <c r="GV115" s="226"/>
      <c r="GW115" s="226"/>
      <c r="GX115" s="226"/>
      <c r="GY115" s="226"/>
      <c r="GZ115" s="226"/>
      <c r="HA115" s="226"/>
      <c r="HB115" s="226"/>
      <c r="HC115" s="226"/>
      <c r="HD115" s="226"/>
      <c r="HE115" s="226"/>
      <c r="HF115" s="226"/>
      <c r="HG115" s="226"/>
      <c r="HH115" s="226"/>
      <c r="HI115" s="226"/>
      <c r="HJ115" s="226"/>
      <c r="HK115" s="226"/>
      <c r="HL115" s="226"/>
      <c r="HM115" s="226"/>
      <c r="HN115" s="226"/>
      <c r="HO115" s="230"/>
      <c r="HP115" s="225"/>
      <c r="HQ115" s="226"/>
      <c r="HR115" s="227"/>
      <c r="HS115" s="228"/>
      <c r="HT115" s="226"/>
      <c r="HU115" s="226"/>
      <c r="HV115" s="226"/>
      <c r="HW115" s="226"/>
      <c r="HX115" s="226"/>
      <c r="HY115" s="226"/>
      <c r="HZ115" s="226"/>
      <c r="IA115" s="226"/>
      <c r="IB115" s="226"/>
      <c r="IC115" s="226"/>
      <c r="ID115" s="226"/>
      <c r="IE115" s="226"/>
      <c r="IF115" s="226"/>
      <c r="IG115" s="226"/>
      <c r="IH115" s="226"/>
      <c r="II115" s="226"/>
      <c r="IJ115" s="226"/>
      <c r="IK115" s="226"/>
      <c r="IL115" s="226"/>
      <c r="IM115" s="226"/>
      <c r="IN115" s="226"/>
      <c r="IO115" s="226"/>
      <c r="IP115" s="226"/>
      <c r="IQ115" s="226"/>
      <c r="IR115" s="226"/>
      <c r="IS115" s="226"/>
      <c r="IT115" s="226"/>
      <c r="IU115" s="226"/>
      <c r="IV115" s="226"/>
      <c r="IW115" s="227"/>
      <c r="IX115" s="230"/>
      <c r="IY115" s="225"/>
      <c r="IZ115" s="226"/>
      <c r="JA115" s="226"/>
      <c r="JB115" s="226"/>
      <c r="JC115" s="226"/>
      <c r="JD115" s="226"/>
      <c r="JE115" s="226"/>
      <c r="JF115" s="226"/>
      <c r="JG115" s="226"/>
      <c r="JH115" s="226"/>
      <c r="JI115" s="226"/>
      <c r="JJ115" s="226"/>
      <c r="JK115" s="226"/>
      <c r="JL115" s="226"/>
      <c r="JM115" s="226"/>
      <c r="JN115" s="226"/>
      <c r="JO115" s="226"/>
      <c r="JP115" s="226"/>
      <c r="JQ115" s="226"/>
      <c r="JR115" s="226"/>
      <c r="JS115" s="226"/>
      <c r="JT115" s="226"/>
      <c r="JU115" s="226"/>
      <c r="JV115" s="226"/>
      <c r="JW115" s="226"/>
      <c r="JX115" s="226"/>
      <c r="JY115" s="226"/>
      <c r="JZ115" s="226"/>
      <c r="KA115" s="227"/>
      <c r="KB115" s="228"/>
      <c r="KC115" s="226"/>
      <c r="KD115" s="226"/>
      <c r="KE115" s="226"/>
      <c r="KF115" s="226"/>
      <c r="KG115" s="226"/>
    </row>
    <row r="116" customFormat="false" ht="22.5" hidden="false" customHeight="true" outlineLevel="1" collapsed="false">
      <c r="B116" s="75" t="s">
        <v>325</v>
      </c>
      <c r="C116" s="217" t="s">
        <v>326</v>
      </c>
      <c r="D116" s="127" t="s">
        <v>327</v>
      </c>
      <c r="E116" s="218" t="n">
        <v>3</v>
      </c>
      <c r="F116" s="219" t="n">
        <v>3</v>
      </c>
      <c r="G116" s="220" t="n">
        <f aca="false">E116-F116</f>
        <v>0</v>
      </c>
      <c r="H116" s="221" t="n">
        <v>2</v>
      </c>
      <c r="I116" s="222" t="n">
        <v>5.2</v>
      </c>
      <c r="J116" s="134" t="n">
        <v>46276</v>
      </c>
      <c r="K116" s="134" t="n">
        <v>46280</v>
      </c>
      <c r="L116" s="143" t="n">
        <f aca="false">K116-J116</f>
        <v>4</v>
      </c>
      <c r="M116" s="224" t="n">
        <f aca="false">IFERROR(F116/E116,"")</f>
        <v>1</v>
      </c>
      <c r="N116" s="225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6"/>
      <c r="AD116" s="226"/>
      <c r="AE116" s="226"/>
      <c r="AF116" s="226"/>
      <c r="AG116" s="226"/>
      <c r="AH116" s="226"/>
      <c r="AI116" s="226"/>
      <c r="AJ116" s="227"/>
      <c r="AK116" s="228"/>
      <c r="AL116" s="226"/>
      <c r="AM116" s="226"/>
      <c r="AN116" s="226"/>
      <c r="AO116" s="226"/>
      <c r="AP116" s="226"/>
      <c r="AQ116" s="226"/>
      <c r="AR116" s="226"/>
      <c r="AS116" s="226"/>
      <c r="AT116" s="226"/>
      <c r="AU116" s="226"/>
      <c r="AV116" s="226"/>
      <c r="AW116" s="226"/>
      <c r="AX116" s="226"/>
      <c r="AY116" s="226"/>
      <c r="AZ116" s="226"/>
      <c r="BA116" s="226"/>
      <c r="BB116" s="226"/>
      <c r="BC116" s="226"/>
      <c r="BD116" s="226"/>
      <c r="BE116" s="226"/>
      <c r="BF116" s="226"/>
      <c r="BG116" s="226"/>
      <c r="BH116" s="226"/>
      <c r="BI116" s="226"/>
      <c r="BJ116" s="226"/>
      <c r="BK116" s="226"/>
      <c r="BL116" s="226"/>
      <c r="BM116" s="226"/>
      <c r="BN116" s="227"/>
      <c r="BO116" s="228"/>
      <c r="BP116" s="226"/>
      <c r="BQ116" s="226"/>
      <c r="BR116" s="226"/>
      <c r="BS116" s="226"/>
      <c r="BT116" s="226"/>
      <c r="BU116" s="226"/>
      <c r="BV116" s="226"/>
      <c r="BW116" s="226"/>
      <c r="BX116" s="226"/>
      <c r="BY116" s="226"/>
      <c r="BZ116" s="226"/>
      <c r="CA116" s="226"/>
      <c r="CB116" s="226"/>
      <c r="CC116" s="226"/>
      <c r="CD116" s="226"/>
      <c r="CE116" s="226"/>
      <c r="CF116" s="226"/>
      <c r="CG116" s="226"/>
      <c r="CH116" s="226"/>
      <c r="CI116" s="226"/>
      <c r="CJ116" s="226"/>
      <c r="CK116" s="226"/>
      <c r="CL116" s="226"/>
      <c r="CM116" s="226"/>
      <c r="CN116" s="226"/>
      <c r="CO116" s="226"/>
      <c r="CP116" s="226"/>
      <c r="CQ116" s="226"/>
      <c r="CR116" s="226"/>
      <c r="CS116" s="229"/>
      <c r="CT116" s="228"/>
      <c r="CU116" s="226"/>
      <c r="CV116" s="226"/>
      <c r="CW116" s="226"/>
      <c r="CX116" s="226"/>
      <c r="CY116" s="226"/>
      <c r="CZ116" s="226"/>
      <c r="DA116" s="226"/>
      <c r="DB116" s="226"/>
      <c r="DC116" s="226"/>
      <c r="DD116" s="226"/>
      <c r="DE116" s="226"/>
      <c r="DF116" s="226"/>
      <c r="DG116" s="226"/>
      <c r="DH116" s="226"/>
      <c r="DI116" s="226"/>
      <c r="DJ116" s="226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30"/>
      <c r="DV116" s="225"/>
      <c r="DW116" s="226"/>
      <c r="DX116" s="226"/>
      <c r="DY116" s="226"/>
      <c r="DZ116" s="226"/>
      <c r="EA116" s="226"/>
      <c r="EB116" s="226"/>
      <c r="EC116" s="226"/>
      <c r="ED116" s="227"/>
      <c r="EE116" s="228"/>
      <c r="EF116" s="226"/>
      <c r="EG116" s="226"/>
      <c r="EH116" s="226"/>
      <c r="EI116" s="226"/>
      <c r="EJ116" s="226"/>
      <c r="EK116" s="226"/>
      <c r="EL116" s="226"/>
      <c r="EM116" s="226"/>
      <c r="EN116" s="226"/>
      <c r="EO116" s="226"/>
      <c r="EP116" s="226"/>
      <c r="EQ116" s="226"/>
      <c r="ER116" s="226"/>
      <c r="ES116" s="226"/>
      <c r="ET116" s="226"/>
      <c r="EU116" s="226"/>
      <c r="EV116" s="226"/>
      <c r="EW116" s="226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226"/>
      <c r="FH116" s="226"/>
      <c r="FI116" s="227"/>
      <c r="FJ116" s="228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226"/>
      <c r="FU116" s="226"/>
      <c r="FV116" s="226"/>
      <c r="FW116" s="226"/>
      <c r="FX116" s="226"/>
      <c r="FY116" s="226"/>
      <c r="FZ116" s="226"/>
      <c r="GA116" s="226"/>
      <c r="GB116" s="226"/>
      <c r="GC116" s="226"/>
      <c r="GD116" s="226"/>
      <c r="GE116" s="226"/>
      <c r="GF116" s="226"/>
      <c r="GG116" s="226"/>
      <c r="GH116" s="226"/>
      <c r="GI116" s="226"/>
      <c r="GJ116" s="226"/>
      <c r="GK116" s="226"/>
      <c r="GL116" s="226"/>
      <c r="GM116" s="226"/>
      <c r="GN116" s="227"/>
      <c r="GO116" s="228"/>
      <c r="GP116" s="226"/>
      <c r="GQ116" s="226"/>
      <c r="GR116" s="226"/>
      <c r="GS116" s="226"/>
      <c r="GT116" s="226"/>
      <c r="GU116" s="226"/>
      <c r="GV116" s="226"/>
      <c r="GW116" s="226"/>
      <c r="GX116" s="226"/>
      <c r="GY116" s="226"/>
      <c r="GZ116" s="226"/>
      <c r="HA116" s="226"/>
      <c r="HB116" s="226"/>
      <c r="HC116" s="226"/>
      <c r="HD116" s="226"/>
      <c r="HE116" s="226"/>
      <c r="HF116" s="226"/>
      <c r="HG116" s="226"/>
      <c r="HH116" s="226"/>
      <c r="HI116" s="226"/>
      <c r="HJ116" s="226"/>
      <c r="HK116" s="226"/>
      <c r="HL116" s="226"/>
      <c r="HM116" s="226"/>
      <c r="HN116" s="226"/>
      <c r="HO116" s="230"/>
      <c r="HP116" s="225"/>
      <c r="HQ116" s="226"/>
      <c r="HR116" s="227"/>
      <c r="HS116" s="228"/>
      <c r="HT116" s="226"/>
      <c r="HU116" s="226"/>
      <c r="HV116" s="226"/>
      <c r="HW116" s="226"/>
      <c r="HX116" s="226"/>
      <c r="HY116" s="226"/>
      <c r="HZ116" s="226"/>
      <c r="IA116" s="226"/>
      <c r="IB116" s="226"/>
      <c r="IC116" s="226"/>
      <c r="ID116" s="226"/>
      <c r="IE116" s="226"/>
      <c r="IF116" s="226"/>
      <c r="IG116" s="226"/>
      <c r="IH116" s="226"/>
      <c r="II116" s="226"/>
      <c r="IJ116" s="226"/>
      <c r="IK116" s="226"/>
      <c r="IL116" s="226"/>
      <c r="IM116" s="226"/>
      <c r="IN116" s="226"/>
      <c r="IO116" s="226"/>
      <c r="IP116" s="226"/>
      <c r="IQ116" s="226"/>
      <c r="IR116" s="226"/>
      <c r="IS116" s="226"/>
      <c r="IT116" s="226"/>
      <c r="IU116" s="226"/>
      <c r="IV116" s="226"/>
      <c r="IW116" s="227"/>
      <c r="IX116" s="230"/>
      <c r="IY116" s="225"/>
      <c r="IZ116" s="226"/>
      <c r="JA116" s="226"/>
      <c r="JB116" s="226"/>
      <c r="JC116" s="226"/>
      <c r="JD116" s="226"/>
      <c r="JE116" s="226"/>
      <c r="JF116" s="226"/>
      <c r="JG116" s="226"/>
      <c r="JH116" s="226"/>
      <c r="JI116" s="226"/>
      <c r="JJ116" s="226"/>
      <c r="JK116" s="226"/>
      <c r="JL116" s="226"/>
      <c r="JM116" s="226"/>
      <c r="JN116" s="226"/>
      <c r="JO116" s="226"/>
      <c r="JP116" s="226"/>
      <c r="JQ116" s="226"/>
      <c r="JR116" s="226"/>
      <c r="JS116" s="226"/>
      <c r="JT116" s="226"/>
      <c r="JU116" s="226"/>
      <c r="JV116" s="226"/>
      <c r="JW116" s="226"/>
      <c r="JX116" s="226"/>
      <c r="JY116" s="226"/>
      <c r="JZ116" s="226"/>
      <c r="KA116" s="227"/>
      <c r="KB116" s="228"/>
      <c r="KC116" s="226"/>
      <c r="KD116" s="226"/>
      <c r="KE116" s="226"/>
      <c r="KF116" s="226"/>
      <c r="KG116" s="226"/>
    </row>
    <row r="117" customFormat="false" ht="22.5" hidden="false" customHeight="true" outlineLevel="1" collapsed="false">
      <c r="B117" s="75" t="s">
        <v>328</v>
      </c>
      <c r="C117" s="217" t="s">
        <v>329</v>
      </c>
      <c r="D117" s="127" t="s">
        <v>330</v>
      </c>
      <c r="E117" s="218" t="n">
        <v>2</v>
      </c>
      <c r="F117" s="219" t="n">
        <v>0</v>
      </c>
      <c r="G117" s="220" t="n">
        <f aca="false">E117-F117</f>
        <v>2</v>
      </c>
      <c r="H117" s="221" t="n">
        <v>3</v>
      </c>
      <c r="I117" s="231" t="n">
        <v>5.1</v>
      </c>
      <c r="J117" s="134" t="n">
        <v>46281</v>
      </c>
      <c r="K117" s="134" t="n">
        <v>46284</v>
      </c>
      <c r="L117" s="143" t="n">
        <f aca="false">K117-J117</f>
        <v>3</v>
      </c>
      <c r="M117" s="224" t="n">
        <f aca="false">IFERROR(F117/E117,"")</f>
        <v>0</v>
      </c>
      <c r="N117" s="225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  <c r="AA117" s="226"/>
      <c r="AB117" s="226"/>
      <c r="AC117" s="226"/>
      <c r="AD117" s="226"/>
      <c r="AE117" s="226"/>
      <c r="AF117" s="226"/>
      <c r="AG117" s="226"/>
      <c r="AH117" s="226"/>
      <c r="AI117" s="226"/>
      <c r="AJ117" s="227"/>
      <c r="AK117" s="228"/>
      <c r="AL117" s="226"/>
      <c r="AM117" s="226"/>
      <c r="AN117" s="226"/>
      <c r="AO117" s="226"/>
      <c r="AP117" s="226"/>
      <c r="AQ117" s="226"/>
      <c r="AR117" s="226"/>
      <c r="AS117" s="226"/>
      <c r="AT117" s="226"/>
      <c r="AU117" s="226"/>
      <c r="AV117" s="226"/>
      <c r="AW117" s="226"/>
      <c r="AX117" s="226"/>
      <c r="AY117" s="226"/>
      <c r="AZ117" s="226"/>
      <c r="BA117" s="226"/>
      <c r="BB117" s="226"/>
      <c r="BC117" s="226"/>
      <c r="BD117" s="226"/>
      <c r="BE117" s="226"/>
      <c r="BF117" s="226"/>
      <c r="BG117" s="226"/>
      <c r="BH117" s="226"/>
      <c r="BI117" s="226"/>
      <c r="BJ117" s="226"/>
      <c r="BK117" s="226"/>
      <c r="BL117" s="226"/>
      <c r="BM117" s="226"/>
      <c r="BN117" s="227"/>
      <c r="BO117" s="228"/>
      <c r="BP117" s="226"/>
      <c r="BQ117" s="226"/>
      <c r="BR117" s="226"/>
      <c r="BS117" s="226"/>
      <c r="BT117" s="226"/>
      <c r="BU117" s="226"/>
      <c r="BV117" s="226"/>
      <c r="BW117" s="226"/>
      <c r="BX117" s="226"/>
      <c r="BY117" s="226"/>
      <c r="BZ117" s="226"/>
      <c r="CA117" s="226"/>
      <c r="CB117" s="226"/>
      <c r="CC117" s="226"/>
      <c r="CD117" s="226"/>
      <c r="CE117" s="226"/>
      <c r="CF117" s="226"/>
      <c r="CG117" s="226"/>
      <c r="CH117" s="226"/>
      <c r="CI117" s="226"/>
      <c r="CJ117" s="226"/>
      <c r="CK117" s="226"/>
      <c r="CL117" s="226"/>
      <c r="CM117" s="226"/>
      <c r="CN117" s="226"/>
      <c r="CO117" s="226"/>
      <c r="CP117" s="226"/>
      <c r="CQ117" s="226"/>
      <c r="CR117" s="226"/>
      <c r="CS117" s="229"/>
      <c r="CT117" s="228"/>
      <c r="CU117" s="226"/>
      <c r="CV117" s="226"/>
      <c r="CW117" s="226"/>
      <c r="CX117" s="226"/>
      <c r="CY117" s="226"/>
      <c r="CZ117" s="226"/>
      <c r="DA117" s="226"/>
      <c r="DB117" s="226"/>
      <c r="DC117" s="226"/>
      <c r="DD117" s="226"/>
      <c r="DE117" s="226"/>
      <c r="DF117" s="226"/>
      <c r="DG117" s="226"/>
      <c r="DH117" s="226"/>
      <c r="DI117" s="226"/>
      <c r="DJ117" s="226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30"/>
      <c r="DV117" s="225"/>
      <c r="DW117" s="226"/>
      <c r="DX117" s="226"/>
      <c r="DY117" s="226"/>
      <c r="DZ117" s="226"/>
      <c r="EA117" s="226"/>
      <c r="EB117" s="226"/>
      <c r="EC117" s="226"/>
      <c r="ED117" s="227"/>
      <c r="EE117" s="228"/>
      <c r="EF117" s="226"/>
      <c r="EG117" s="226"/>
      <c r="EH117" s="226"/>
      <c r="EI117" s="226"/>
      <c r="EJ117" s="226"/>
      <c r="EK117" s="226"/>
      <c r="EL117" s="226"/>
      <c r="EM117" s="226"/>
      <c r="EN117" s="226"/>
      <c r="EO117" s="226"/>
      <c r="EP117" s="226"/>
      <c r="EQ117" s="226"/>
      <c r="ER117" s="226"/>
      <c r="ES117" s="226"/>
      <c r="ET117" s="226"/>
      <c r="EU117" s="226"/>
      <c r="EV117" s="226"/>
      <c r="EW117" s="226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226"/>
      <c r="FH117" s="226"/>
      <c r="FI117" s="227"/>
      <c r="FJ117" s="228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226"/>
      <c r="FU117" s="226"/>
      <c r="FV117" s="226"/>
      <c r="FW117" s="226"/>
      <c r="FX117" s="226"/>
      <c r="FY117" s="226"/>
      <c r="FZ117" s="226"/>
      <c r="GA117" s="226"/>
      <c r="GB117" s="226"/>
      <c r="GC117" s="226"/>
      <c r="GD117" s="226"/>
      <c r="GE117" s="226"/>
      <c r="GF117" s="226"/>
      <c r="GG117" s="226"/>
      <c r="GH117" s="226"/>
      <c r="GI117" s="226"/>
      <c r="GJ117" s="226"/>
      <c r="GK117" s="226"/>
      <c r="GL117" s="226"/>
      <c r="GM117" s="226"/>
      <c r="GN117" s="227"/>
      <c r="GO117" s="228"/>
      <c r="GP117" s="226"/>
      <c r="GQ117" s="226"/>
      <c r="GR117" s="226"/>
      <c r="GS117" s="226"/>
      <c r="GT117" s="226"/>
      <c r="GU117" s="226"/>
      <c r="GV117" s="226"/>
      <c r="GW117" s="226"/>
      <c r="GX117" s="226"/>
      <c r="GY117" s="226"/>
      <c r="GZ117" s="226"/>
      <c r="HA117" s="226"/>
      <c r="HB117" s="226"/>
      <c r="HC117" s="226"/>
      <c r="HD117" s="226"/>
      <c r="HE117" s="226"/>
      <c r="HF117" s="226"/>
      <c r="HG117" s="226"/>
      <c r="HH117" s="226"/>
      <c r="HI117" s="226"/>
      <c r="HJ117" s="226"/>
      <c r="HK117" s="226"/>
      <c r="HL117" s="226"/>
      <c r="HM117" s="226"/>
      <c r="HN117" s="226"/>
      <c r="HO117" s="230"/>
      <c r="HP117" s="225"/>
      <c r="HQ117" s="226"/>
      <c r="HR117" s="227"/>
      <c r="HS117" s="228"/>
      <c r="HT117" s="226"/>
      <c r="HU117" s="226"/>
      <c r="HV117" s="226"/>
      <c r="HW117" s="226"/>
      <c r="HX117" s="226"/>
      <c r="HY117" s="226"/>
      <c r="HZ117" s="226"/>
      <c r="IA117" s="226"/>
      <c r="IB117" s="226"/>
      <c r="IC117" s="226"/>
      <c r="ID117" s="226"/>
      <c r="IE117" s="226"/>
      <c r="IF117" s="226"/>
      <c r="IG117" s="226"/>
      <c r="IH117" s="226"/>
      <c r="II117" s="226"/>
      <c r="IJ117" s="226"/>
      <c r="IK117" s="226"/>
      <c r="IL117" s="226"/>
      <c r="IM117" s="226"/>
      <c r="IN117" s="226"/>
      <c r="IO117" s="226"/>
      <c r="IP117" s="226"/>
      <c r="IQ117" s="226"/>
      <c r="IR117" s="226"/>
      <c r="IS117" s="226"/>
      <c r="IT117" s="226"/>
      <c r="IU117" s="226"/>
      <c r="IV117" s="226"/>
      <c r="IW117" s="227"/>
      <c r="IX117" s="230"/>
      <c r="IY117" s="225"/>
      <c r="IZ117" s="226"/>
      <c r="JA117" s="226"/>
      <c r="JB117" s="226"/>
      <c r="JC117" s="226"/>
      <c r="JD117" s="226"/>
      <c r="JE117" s="226"/>
      <c r="JF117" s="226"/>
      <c r="JG117" s="226"/>
      <c r="JH117" s="226"/>
      <c r="JI117" s="226"/>
      <c r="JJ117" s="226"/>
      <c r="JK117" s="226"/>
      <c r="JL117" s="226"/>
      <c r="JM117" s="226"/>
      <c r="JN117" s="226"/>
      <c r="JO117" s="226"/>
      <c r="JP117" s="226"/>
      <c r="JQ117" s="226"/>
      <c r="JR117" s="226"/>
      <c r="JS117" s="226"/>
      <c r="JT117" s="226"/>
      <c r="JU117" s="226"/>
      <c r="JV117" s="226"/>
      <c r="JW117" s="226"/>
      <c r="JX117" s="226"/>
      <c r="JY117" s="226"/>
      <c r="JZ117" s="226"/>
      <c r="KA117" s="227"/>
      <c r="KB117" s="228"/>
      <c r="KC117" s="226"/>
      <c r="KD117" s="226"/>
      <c r="KE117" s="226"/>
      <c r="KF117" s="226"/>
      <c r="KG117" s="226"/>
    </row>
    <row r="118" customFormat="false" ht="22.5" hidden="false" customHeight="true" outlineLevel="1" collapsed="false">
      <c r="B118" s="75" t="s">
        <v>331</v>
      </c>
      <c r="C118" s="217" t="s">
        <v>332</v>
      </c>
      <c r="D118" s="127" t="s">
        <v>308</v>
      </c>
      <c r="E118" s="218" t="n">
        <v>3</v>
      </c>
      <c r="F118" s="219" t="n">
        <v>0</v>
      </c>
      <c r="G118" s="220" t="n">
        <f aca="false">E118-F118</f>
        <v>3</v>
      </c>
      <c r="H118" s="221" t="n">
        <v>3</v>
      </c>
      <c r="I118" s="222" t="n">
        <v>5.12</v>
      </c>
      <c r="J118" s="134" t="n">
        <v>46285</v>
      </c>
      <c r="K118" s="134" t="n">
        <v>46286</v>
      </c>
      <c r="L118" s="143" t="n">
        <f aca="false">K118-J118</f>
        <v>1</v>
      </c>
      <c r="M118" s="224" t="n">
        <f aca="false">IFERROR(F118/E118,"")</f>
        <v>0</v>
      </c>
      <c r="N118" s="225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  <c r="AA118" s="226"/>
      <c r="AB118" s="226"/>
      <c r="AC118" s="226"/>
      <c r="AD118" s="226"/>
      <c r="AE118" s="226"/>
      <c r="AF118" s="226"/>
      <c r="AG118" s="226"/>
      <c r="AH118" s="226"/>
      <c r="AI118" s="226"/>
      <c r="AJ118" s="227"/>
      <c r="AK118" s="228"/>
      <c r="AL118" s="226"/>
      <c r="AM118" s="226"/>
      <c r="AN118" s="226"/>
      <c r="AO118" s="226"/>
      <c r="AP118" s="226"/>
      <c r="AQ118" s="226"/>
      <c r="AR118" s="226"/>
      <c r="AS118" s="226"/>
      <c r="AT118" s="226"/>
      <c r="AU118" s="226"/>
      <c r="AV118" s="226"/>
      <c r="AW118" s="226"/>
      <c r="AX118" s="226"/>
      <c r="AY118" s="226"/>
      <c r="AZ118" s="226"/>
      <c r="BA118" s="226"/>
      <c r="BB118" s="226"/>
      <c r="BC118" s="226"/>
      <c r="BD118" s="226"/>
      <c r="BE118" s="226"/>
      <c r="BF118" s="226"/>
      <c r="BG118" s="226"/>
      <c r="BH118" s="226"/>
      <c r="BI118" s="226"/>
      <c r="BJ118" s="226"/>
      <c r="BK118" s="226"/>
      <c r="BL118" s="226"/>
      <c r="BM118" s="226"/>
      <c r="BN118" s="227"/>
      <c r="BO118" s="228"/>
      <c r="BP118" s="226"/>
      <c r="BQ118" s="226"/>
      <c r="BR118" s="226"/>
      <c r="BS118" s="226"/>
      <c r="BT118" s="226"/>
      <c r="BU118" s="226"/>
      <c r="BV118" s="226"/>
      <c r="BW118" s="226"/>
      <c r="BX118" s="226"/>
      <c r="BY118" s="226"/>
      <c r="BZ118" s="226"/>
      <c r="CA118" s="226"/>
      <c r="CB118" s="226"/>
      <c r="CC118" s="226"/>
      <c r="CD118" s="226"/>
      <c r="CE118" s="226"/>
      <c r="CF118" s="226"/>
      <c r="CG118" s="226"/>
      <c r="CH118" s="226"/>
      <c r="CI118" s="226"/>
      <c r="CJ118" s="226"/>
      <c r="CK118" s="226"/>
      <c r="CL118" s="226"/>
      <c r="CM118" s="226"/>
      <c r="CN118" s="226"/>
      <c r="CO118" s="226"/>
      <c r="CP118" s="226"/>
      <c r="CQ118" s="226"/>
      <c r="CR118" s="226"/>
      <c r="CS118" s="229"/>
      <c r="CT118" s="228"/>
      <c r="CU118" s="226"/>
      <c r="CV118" s="226"/>
      <c r="CW118" s="226"/>
      <c r="CX118" s="226"/>
      <c r="CY118" s="226"/>
      <c r="CZ118" s="226"/>
      <c r="DA118" s="226"/>
      <c r="DB118" s="226"/>
      <c r="DC118" s="226"/>
      <c r="DD118" s="226"/>
      <c r="DE118" s="226"/>
      <c r="DF118" s="226"/>
      <c r="DG118" s="226"/>
      <c r="DH118" s="226"/>
      <c r="DI118" s="226"/>
      <c r="DJ118" s="226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30"/>
      <c r="DV118" s="225"/>
      <c r="DW118" s="226"/>
      <c r="DX118" s="226"/>
      <c r="DY118" s="226"/>
      <c r="DZ118" s="226"/>
      <c r="EA118" s="226"/>
      <c r="EB118" s="226"/>
      <c r="EC118" s="226"/>
      <c r="ED118" s="227"/>
      <c r="EE118" s="228"/>
      <c r="EF118" s="226"/>
      <c r="EG118" s="226"/>
      <c r="EH118" s="226"/>
      <c r="EI118" s="226"/>
      <c r="EJ118" s="226"/>
      <c r="EK118" s="226"/>
      <c r="EL118" s="226"/>
      <c r="EM118" s="226"/>
      <c r="EN118" s="226"/>
      <c r="EO118" s="226"/>
      <c r="EP118" s="226"/>
      <c r="EQ118" s="226"/>
      <c r="ER118" s="226"/>
      <c r="ES118" s="226"/>
      <c r="ET118" s="226"/>
      <c r="EU118" s="226"/>
      <c r="EV118" s="226"/>
      <c r="EW118" s="226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226"/>
      <c r="FH118" s="226"/>
      <c r="FI118" s="227"/>
      <c r="FJ118" s="228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226"/>
      <c r="FU118" s="226"/>
      <c r="FV118" s="226"/>
      <c r="FW118" s="226"/>
      <c r="FX118" s="226"/>
      <c r="FY118" s="226"/>
      <c r="FZ118" s="226"/>
      <c r="GA118" s="226"/>
      <c r="GB118" s="226"/>
      <c r="GC118" s="226"/>
      <c r="GD118" s="226"/>
      <c r="GE118" s="226"/>
      <c r="GF118" s="226"/>
      <c r="GG118" s="226"/>
      <c r="GH118" s="226"/>
      <c r="GI118" s="226"/>
      <c r="GJ118" s="226"/>
      <c r="GK118" s="226"/>
      <c r="GL118" s="226"/>
      <c r="GM118" s="226"/>
      <c r="GN118" s="227"/>
      <c r="GO118" s="228"/>
      <c r="GP118" s="226"/>
      <c r="GQ118" s="226"/>
      <c r="GR118" s="226"/>
      <c r="GS118" s="226"/>
      <c r="GT118" s="226"/>
      <c r="GU118" s="226"/>
      <c r="GV118" s="226"/>
      <c r="GW118" s="226"/>
      <c r="GX118" s="226"/>
      <c r="GY118" s="226"/>
      <c r="GZ118" s="226"/>
      <c r="HA118" s="226"/>
      <c r="HB118" s="226"/>
      <c r="HC118" s="226"/>
      <c r="HD118" s="226"/>
      <c r="HE118" s="226"/>
      <c r="HF118" s="226"/>
      <c r="HG118" s="226"/>
      <c r="HH118" s="226"/>
      <c r="HI118" s="226"/>
      <c r="HJ118" s="226"/>
      <c r="HK118" s="226"/>
      <c r="HL118" s="226"/>
      <c r="HM118" s="226"/>
      <c r="HN118" s="226"/>
      <c r="HO118" s="230"/>
      <c r="HP118" s="225"/>
      <c r="HQ118" s="226"/>
      <c r="HR118" s="227"/>
      <c r="HS118" s="228"/>
      <c r="HT118" s="226"/>
      <c r="HU118" s="226"/>
      <c r="HV118" s="226"/>
      <c r="HW118" s="226"/>
      <c r="HX118" s="226"/>
      <c r="HY118" s="226"/>
      <c r="HZ118" s="226"/>
      <c r="IA118" s="226"/>
      <c r="IB118" s="226"/>
      <c r="IC118" s="226"/>
      <c r="ID118" s="226"/>
      <c r="IE118" s="226"/>
      <c r="IF118" s="226"/>
      <c r="IG118" s="226"/>
      <c r="IH118" s="226"/>
      <c r="II118" s="226"/>
      <c r="IJ118" s="226"/>
      <c r="IK118" s="226"/>
      <c r="IL118" s="226"/>
      <c r="IM118" s="226"/>
      <c r="IN118" s="226"/>
      <c r="IO118" s="226"/>
      <c r="IP118" s="226"/>
      <c r="IQ118" s="226"/>
      <c r="IR118" s="226"/>
      <c r="IS118" s="226"/>
      <c r="IT118" s="226"/>
      <c r="IU118" s="226"/>
      <c r="IV118" s="226"/>
      <c r="IW118" s="227"/>
      <c r="IX118" s="230"/>
      <c r="IY118" s="225"/>
      <c r="IZ118" s="226"/>
      <c r="JA118" s="226"/>
      <c r="JB118" s="226"/>
      <c r="JC118" s="226"/>
      <c r="JD118" s="226"/>
      <c r="JE118" s="226"/>
      <c r="JF118" s="226"/>
      <c r="JG118" s="226"/>
      <c r="JH118" s="226"/>
      <c r="JI118" s="226"/>
      <c r="JJ118" s="226"/>
      <c r="JK118" s="226"/>
      <c r="JL118" s="226"/>
      <c r="JM118" s="226"/>
      <c r="JN118" s="226"/>
      <c r="JO118" s="226"/>
      <c r="JP118" s="226"/>
      <c r="JQ118" s="226"/>
      <c r="JR118" s="226"/>
      <c r="JS118" s="226"/>
      <c r="JT118" s="226"/>
      <c r="JU118" s="226"/>
      <c r="JV118" s="226"/>
      <c r="JW118" s="226"/>
      <c r="JX118" s="226"/>
      <c r="JY118" s="226"/>
      <c r="JZ118" s="226"/>
      <c r="KA118" s="227"/>
      <c r="KB118" s="228"/>
      <c r="KC118" s="226"/>
      <c r="KD118" s="226"/>
      <c r="KE118" s="226"/>
      <c r="KF118" s="226"/>
      <c r="KG118" s="226"/>
    </row>
    <row r="119" customFormat="false" ht="22.5" hidden="false" customHeight="true" outlineLevel="1" collapsed="false">
      <c r="B119" s="75" t="s">
        <v>333</v>
      </c>
      <c r="C119" s="217" t="s">
        <v>334</v>
      </c>
      <c r="D119" s="127" t="s">
        <v>169</v>
      </c>
      <c r="E119" s="218" t="n">
        <v>4</v>
      </c>
      <c r="F119" s="219" t="n">
        <v>0</v>
      </c>
      <c r="G119" s="220" t="n">
        <f aca="false">E119-F119</f>
        <v>4</v>
      </c>
      <c r="H119" s="221" t="n">
        <v>3</v>
      </c>
      <c r="I119" s="222" t="n">
        <v>5.13</v>
      </c>
      <c r="J119" s="134" t="n">
        <v>46287</v>
      </c>
      <c r="K119" s="134" t="n">
        <v>46288</v>
      </c>
      <c r="L119" s="143" t="n">
        <f aca="false">K119-J119</f>
        <v>1</v>
      </c>
      <c r="M119" s="224" t="n">
        <f aca="false">IFERROR(F119/E119,"")</f>
        <v>0</v>
      </c>
      <c r="N119" s="225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  <c r="AA119" s="226"/>
      <c r="AB119" s="226"/>
      <c r="AC119" s="226"/>
      <c r="AD119" s="226"/>
      <c r="AE119" s="226"/>
      <c r="AF119" s="226"/>
      <c r="AG119" s="226"/>
      <c r="AH119" s="226"/>
      <c r="AI119" s="226"/>
      <c r="AJ119" s="227"/>
      <c r="AK119" s="228"/>
      <c r="AL119" s="226"/>
      <c r="AM119" s="226"/>
      <c r="AN119" s="226"/>
      <c r="AO119" s="226"/>
      <c r="AP119" s="226"/>
      <c r="AQ119" s="226"/>
      <c r="AR119" s="226"/>
      <c r="AS119" s="226"/>
      <c r="AT119" s="226"/>
      <c r="AU119" s="226"/>
      <c r="AV119" s="226"/>
      <c r="AW119" s="226"/>
      <c r="AX119" s="226"/>
      <c r="AY119" s="226"/>
      <c r="AZ119" s="226"/>
      <c r="BA119" s="226"/>
      <c r="BB119" s="226"/>
      <c r="BC119" s="226"/>
      <c r="BD119" s="226"/>
      <c r="BE119" s="226"/>
      <c r="BF119" s="226"/>
      <c r="BG119" s="226"/>
      <c r="BH119" s="226"/>
      <c r="BI119" s="226"/>
      <c r="BJ119" s="226"/>
      <c r="BK119" s="226"/>
      <c r="BL119" s="226"/>
      <c r="BM119" s="226"/>
      <c r="BN119" s="227"/>
      <c r="BO119" s="228"/>
      <c r="BP119" s="226"/>
      <c r="BQ119" s="226"/>
      <c r="BR119" s="226"/>
      <c r="BS119" s="226"/>
      <c r="BT119" s="226"/>
      <c r="BU119" s="226"/>
      <c r="BV119" s="226"/>
      <c r="BW119" s="226"/>
      <c r="BX119" s="226"/>
      <c r="BY119" s="226"/>
      <c r="BZ119" s="226"/>
      <c r="CA119" s="226"/>
      <c r="CB119" s="226"/>
      <c r="CC119" s="226"/>
      <c r="CD119" s="226"/>
      <c r="CE119" s="226"/>
      <c r="CF119" s="226"/>
      <c r="CG119" s="226"/>
      <c r="CH119" s="226"/>
      <c r="CI119" s="226"/>
      <c r="CJ119" s="226"/>
      <c r="CK119" s="226"/>
      <c r="CL119" s="226"/>
      <c r="CM119" s="226"/>
      <c r="CN119" s="226"/>
      <c r="CO119" s="226"/>
      <c r="CP119" s="226"/>
      <c r="CQ119" s="226"/>
      <c r="CR119" s="226"/>
      <c r="CS119" s="229"/>
      <c r="CT119" s="228"/>
      <c r="CU119" s="226"/>
      <c r="CV119" s="226"/>
      <c r="CW119" s="226"/>
      <c r="CX119" s="226"/>
      <c r="CY119" s="226"/>
      <c r="CZ119" s="226"/>
      <c r="DA119" s="226"/>
      <c r="DB119" s="226"/>
      <c r="DC119" s="226"/>
      <c r="DD119" s="226"/>
      <c r="DE119" s="226"/>
      <c r="DF119" s="226"/>
      <c r="DG119" s="226"/>
      <c r="DH119" s="226"/>
      <c r="DI119" s="226"/>
      <c r="DJ119" s="226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30"/>
      <c r="DV119" s="225"/>
      <c r="DW119" s="226"/>
      <c r="DX119" s="226"/>
      <c r="DY119" s="226"/>
      <c r="DZ119" s="226"/>
      <c r="EA119" s="226"/>
      <c r="EB119" s="226"/>
      <c r="EC119" s="226"/>
      <c r="ED119" s="227"/>
      <c r="EE119" s="228"/>
      <c r="EF119" s="226"/>
      <c r="EG119" s="226"/>
      <c r="EH119" s="226"/>
      <c r="EI119" s="226"/>
      <c r="EJ119" s="226"/>
      <c r="EK119" s="226"/>
      <c r="EL119" s="226"/>
      <c r="EM119" s="226"/>
      <c r="EN119" s="226"/>
      <c r="EO119" s="226"/>
      <c r="EP119" s="226"/>
      <c r="EQ119" s="226"/>
      <c r="ER119" s="226"/>
      <c r="ES119" s="226"/>
      <c r="ET119" s="226"/>
      <c r="EU119" s="226"/>
      <c r="EV119" s="226"/>
      <c r="EW119" s="226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226"/>
      <c r="FH119" s="226"/>
      <c r="FI119" s="227"/>
      <c r="FJ119" s="228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226"/>
      <c r="FU119" s="226"/>
      <c r="FV119" s="226"/>
      <c r="FW119" s="226"/>
      <c r="FX119" s="226"/>
      <c r="FY119" s="226"/>
      <c r="FZ119" s="226"/>
      <c r="GA119" s="226"/>
      <c r="GB119" s="226"/>
      <c r="GC119" s="226"/>
      <c r="GD119" s="226"/>
      <c r="GE119" s="226"/>
      <c r="GF119" s="226"/>
      <c r="GG119" s="226"/>
      <c r="GH119" s="226"/>
      <c r="GI119" s="226"/>
      <c r="GJ119" s="226"/>
      <c r="GK119" s="226"/>
      <c r="GL119" s="226"/>
      <c r="GM119" s="226"/>
      <c r="GN119" s="227"/>
      <c r="GO119" s="228"/>
      <c r="GP119" s="226"/>
      <c r="GQ119" s="226"/>
      <c r="GR119" s="226"/>
      <c r="GS119" s="226"/>
      <c r="GT119" s="226"/>
      <c r="GU119" s="226"/>
      <c r="GV119" s="226"/>
      <c r="GW119" s="226"/>
      <c r="GX119" s="226"/>
      <c r="GY119" s="226"/>
      <c r="GZ119" s="226"/>
      <c r="HA119" s="226"/>
      <c r="HB119" s="226"/>
      <c r="HC119" s="226"/>
      <c r="HD119" s="226"/>
      <c r="HE119" s="226"/>
      <c r="HF119" s="226"/>
      <c r="HG119" s="226"/>
      <c r="HH119" s="226"/>
      <c r="HI119" s="226"/>
      <c r="HJ119" s="226"/>
      <c r="HK119" s="226"/>
      <c r="HL119" s="226"/>
      <c r="HM119" s="226"/>
      <c r="HN119" s="226"/>
      <c r="HO119" s="230"/>
      <c r="HP119" s="225"/>
      <c r="HQ119" s="226"/>
      <c r="HR119" s="227"/>
      <c r="HS119" s="228"/>
      <c r="HT119" s="226"/>
      <c r="HU119" s="226"/>
      <c r="HV119" s="226"/>
      <c r="HW119" s="226"/>
      <c r="HX119" s="226"/>
      <c r="HY119" s="226"/>
      <c r="HZ119" s="226"/>
      <c r="IA119" s="226"/>
      <c r="IB119" s="226"/>
      <c r="IC119" s="226"/>
      <c r="ID119" s="226"/>
      <c r="IE119" s="226"/>
      <c r="IF119" s="226"/>
      <c r="IG119" s="226"/>
      <c r="IH119" s="226"/>
      <c r="II119" s="226"/>
      <c r="IJ119" s="226"/>
      <c r="IK119" s="226"/>
      <c r="IL119" s="226"/>
      <c r="IM119" s="226"/>
      <c r="IN119" s="226"/>
      <c r="IO119" s="226"/>
      <c r="IP119" s="226"/>
      <c r="IQ119" s="226"/>
      <c r="IR119" s="226"/>
      <c r="IS119" s="226"/>
      <c r="IT119" s="226"/>
      <c r="IU119" s="226"/>
      <c r="IV119" s="226"/>
      <c r="IW119" s="227"/>
      <c r="IX119" s="230"/>
      <c r="IY119" s="225"/>
      <c r="IZ119" s="226"/>
      <c r="JA119" s="226"/>
      <c r="JB119" s="226"/>
      <c r="JC119" s="226"/>
      <c r="JD119" s="226"/>
      <c r="JE119" s="226"/>
      <c r="JF119" s="226"/>
      <c r="JG119" s="226"/>
      <c r="JH119" s="226"/>
      <c r="JI119" s="226"/>
      <c r="JJ119" s="226"/>
      <c r="JK119" s="226"/>
      <c r="JL119" s="226"/>
      <c r="JM119" s="226"/>
      <c r="JN119" s="226"/>
      <c r="JO119" s="226"/>
      <c r="JP119" s="226"/>
      <c r="JQ119" s="226"/>
      <c r="JR119" s="226"/>
      <c r="JS119" s="226"/>
      <c r="JT119" s="226"/>
      <c r="JU119" s="226"/>
      <c r="JV119" s="226"/>
      <c r="JW119" s="226"/>
      <c r="JX119" s="226"/>
      <c r="JY119" s="226"/>
      <c r="JZ119" s="226"/>
      <c r="KA119" s="227"/>
      <c r="KB119" s="228"/>
      <c r="KC119" s="226"/>
      <c r="KD119" s="226"/>
      <c r="KE119" s="226"/>
      <c r="KF119" s="226"/>
      <c r="KG119" s="226"/>
    </row>
    <row r="120" customFormat="false" ht="22.5" hidden="false" customHeight="true" outlineLevel="1" collapsed="false">
      <c r="B120" s="75" t="s">
        <v>335</v>
      </c>
      <c r="C120" s="217" t="s">
        <v>336</v>
      </c>
      <c r="D120" s="127" t="s">
        <v>313</v>
      </c>
      <c r="E120" s="218" t="n">
        <v>3</v>
      </c>
      <c r="F120" s="219" t="n">
        <v>0</v>
      </c>
      <c r="G120" s="220" t="n">
        <f aca="false">E120-F120</f>
        <v>3</v>
      </c>
      <c r="H120" s="221" t="n">
        <v>3</v>
      </c>
      <c r="I120" s="222" t="s">
        <v>337</v>
      </c>
      <c r="J120" s="134" t="n">
        <v>46288</v>
      </c>
      <c r="K120" s="134" t="n">
        <v>46289</v>
      </c>
      <c r="L120" s="143" t="n">
        <f aca="false">K120-J120</f>
        <v>1</v>
      </c>
      <c r="M120" s="224" t="n">
        <f aca="false">IFERROR(F120/E120,"")</f>
        <v>0</v>
      </c>
      <c r="N120" s="225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  <c r="AA120" s="226"/>
      <c r="AB120" s="226"/>
      <c r="AC120" s="226"/>
      <c r="AD120" s="226"/>
      <c r="AE120" s="226"/>
      <c r="AF120" s="226"/>
      <c r="AG120" s="226"/>
      <c r="AH120" s="226"/>
      <c r="AI120" s="226"/>
      <c r="AJ120" s="227"/>
      <c r="AK120" s="228"/>
      <c r="AL120" s="226"/>
      <c r="AM120" s="226"/>
      <c r="AN120" s="226"/>
      <c r="AO120" s="226"/>
      <c r="AP120" s="226"/>
      <c r="AQ120" s="226"/>
      <c r="AR120" s="226"/>
      <c r="AS120" s="226"/>
      <c r="AT120" s="226"/>
      <c r="AU120" s="226"/>
      <c r="AV120" s="226"/>
      <c r="AW120" s="226"/>
      <c r="AX120" s="226"/>
      <c r="AY120" s="226"/>
      <c r="AZ120" s="226"/>
      <c r="BA120" s="226"/>
      <c r="BB120" s="226"/>
      <c r="BC120" s="226"/>
      <c r="BD120" s="226"/>
      <c r="BE120" s="226"/>
      <c r="BF120" s="226"/>
      <c r="BG120" s="226"/>
      <c r="BH120" s="226"/>
      <c r="BI120" s="226"/>
      <c r="BJ120" s="226"/>
      <c r="BK120" s="226"/>
      <c r="BL120" s="226"/>
      <c r="BM120" s="226"/>
      <c r="BN120" s="227"/>
      <c r="BO120" s="228"/>
      <c r="BP120" s="226"/>
      <c r="BQ120" s="226"/>
      <c r="BR120" s="226"/>
      <c r="BS120" s="226"/>
      <c r="BT120" s="226"/>
      <c r="BU120" s="226"/>
      <c r="BV120" s="226"/>
      <c r="BW120" s="226"/>
      <c r="BX120" s="226"/>
      <c r="BY120" s="226"/>
      <c r="BZ120" s="226"/>
      <c r="CA120" s="226"/>
      <c r="CB120" s="226"/>
      <c r="CC120" s="226"/>
      <c r="CD120" s="226"/>
      <c r="CE120" s="226"/>
      <c r="CF120" s="226"/>
      <c r="CG120" s="226"/>
      <c r="CH120" s="226"/>
      <c r="CI120" s="226"/>
      <c r="CJ120" s="226"/>
      <c r="CK120" s="226"/>
      <c r="CL120" s="226"/>
      <c r="CM120" s="226"/>
      <c r="CN120" s="226"/>
      <c r="CO120" s="226"/>
      <c r="CP120" s="226"/>
      <c r="CQ120" s="226"/>
      <c r="CR120" s="226"/>
      <c r="CS120" s="229"/>
      <c r="CT120" s="228"/>
      <c r="CU120" s="226"/>
      <c r="CV120" s="226"/>
      <c r="CW120" s="226"/>
      <c r="CX120" s="226"/>
      <c r="CY120" s="226"/>
      <c r="CZ120" s="226"/>
      <c r="DA120" s="226"/>
      <c r="DB120" s="226"/>
      <c r="DC120" s="226"/>
      <c r="DD120" s="226"/>
      <c r="DE120" s="226"/>
      <c r="DF120" s="226"/>
      <c r="DG120" s="226"/>
      <c r="DH120" s="226"/>
      <c r="DI120" s="226"/>
      <c r="DJ120" s="226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30"/>
      <c r="DV120" s="225"/>
      <c r="DW120" s="226"/>
      <c r="DX120" s="226"/>
      <c r="DY120" s="226"/>
      <c r="DZ120" s="226"/>
      <c r="EA120" s="226"/>
      <c r="EB120" s="226"/>
      <c r="EC120" s="226"/>
      <c r="ED120" s="227"/>
      <c r="EE120" s="228"/>
      <c r="EF120" s="226"/>
      <c r="EG120" s="226"/>
      <c r="EH120" s="226"/>
      <c r="EI120" s="226"/>
      <c r="EJ120" s="226"/>
      <c r="EK120" s="226"/>
      <c r="EL120" s="226"/>
      <c r="EM120" s="226"/>
      <c r="EN120" s="226"/>
      <c r="EO120" s="226"/>
      <c r="EP120" s="226"/>
      <c r="EQ120" s="226"/>
      <c r="ER120" s="226"/>
      <c r="ES120" s="226"/>
      <c r="ET120" s="226"/>
      <c r="EU120" s="226"/>
      <c r="EV120" s="226"/>
      <c r="EW120" s="226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226"/>
      <c r="FH120" s="226"/>
      <c r="FI120" s="227"/>
      <c r="FJ120" s="228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226"/>
      <c r="FU120" s="226"/>
      <c r="FV120" s="226"/>
      <c r="FW120" s="226"/>
      <c r="FX120" s="226"/>
      <c r="FY120" s="226"/>
      <c r="FZ120" s="226"/>
      <c r="GA120" s="226"/>
      <c r="GB120" s="226"/>
      <c r="GC120" s="226"/>
      <c r="GD120" s="226"/>
      <c r="GE120" s="226"/>
      <c r="GF120" s="226"/>
      <c r="GG120" s="226"/>
      <c r="GH120" s="226"/>
      <c r="GI120" s="226"/>
      <c r="GJ120" s="226"/>
      <c r="GK120" s="226"/>
      <c r="GL120" s="226"/>
      <c r="GM120" s="226"/>
      <c r="GN120" s="227"/>
      <c r="GO120" s="228"/>
      <c r="GP120" s="226"/>
      <c r="GQ120" s="226"/>
      <c r="GR120" s="226"/>
      <c r="GS120" s="226"/>
      <c r="GT120" s="226"/>
      <c r="GU120" s="226"/>
      <c r="GV120" s="226"/>
      <c r="GW120" s="226"/>
      <c r="GX120" s="226"/>
      <c r="GY120" s="226"/>
      <c r="GZ120" s="226"/>
      <c r="HA120" s="226"/>
      <c r="HB120" s="226"/>
      <c r="HC120" s="226"/>
      <c r="HD120" s="226"/>
      <c r="HE120" s="226"/>
      <c r="HF120" s="226"/>
      <c r="HG120" s="226"/>
      <c r="HH120" s="226"/>
      <c r="HI120" s="226"/>
      <c r="HJ120" s="226"/>
      <c r="HK120" s="226"/>
      <c r="HL120" s="226"/>
      <c r="HM120" s="226"/>
      <c r="HN120" s="226"/>
      <c r="HO120" s="230"/>
      <c r="HP120" s="225"/>
      <c r="HQ120" s="226"/>
      <c r="HR120" s="227"/>
      <c r="HS120" s="228"/>
      <c r="HT120" s="226"/>
      <c r="HU120" s="226"/>
      <c r="HV120" s="226"/>
      <c r="HW120" s="226"/>
      <c r="HX120" s="226"/>
      <c r="HY120" s="226"/>
      <c r="HZ120" s="226"/>
      <c r="IA120" s="226"/>
      <c r="IB120" s="226"/>
      <c r="IC120" s="226"/>
      <c r="ID120" s="226"/>
      <c r="IE120" s="226"/>
      <c r="IF120" s="226"/>
      <c r="IG120" s="226"/>
      <c r="IH120" s="226"/>
      <c r="II120" s="226"/>
      <c r="IJ120" s="226"/>
      <c r="IK120" s="226"/>
      <c r="IL120" s="226"/>
      <c r="IM120" s="226"/>
      <c r="IN120" s="226"/>
      <c r="IO120" s="226"/>
      <c r="IP120" s="226"/>
      <c r="IQ120" s="226"/>
      <c r="IR120" s="226"/>
      <c r="IS120" s="226"/>
      <c r="IT120" s="226"/>
      <c r="IU120" s="226"/>
      <c r="IV120" s="226"/>
      <c r="IW120" s="227"/>
      <c r="IX120" s="230"/>
      <c r="IY120" s="225"/>
      <c r="IZ120" s="226"/>
      <c r="JA120" s="226"/>
      <c r="JB120" s="226"/>
      <c r="JC120" s="226"/>
      <c r="JD120" s="226"/>
      <c r="JE120" s="226"/>
      <c r="JF120" s="226"/>
      <c r="JG120" s="226"/>
      <c r="JH120" s="226"/>
      <c r="JI120" s="226"/>
      <c r="JJ120" s="226"/>
      <c r="JK120" s="226"/>
      <c r="JL120" s="226"/>
      <c r="JM120" s="226"/>
      <c r="JN120" s="226"/>
      <c r="JO120" s="226"/>
      <c r="JP120" s="226"/>
      <c r="JQ120" s="226"/>
      <c r="JR120" s="226"/>
      <c r="JS120" s="226"/>
      <c r="JT120" s="226"/>
      <c r="JU120" s="226"/>
      <c r="JV120" s="226"/>
      <c r="JW120" s="226"/>
      <c r="JX120" s="226"/>
      <c r="JY120" s="226"/>
      <c r="JZ120" s="226"/>
      <c r="KA120" s="227"/>
      <c r="KB120" s="228"/>
      <c r="KC120" s="226"/>
      <c r="KD120" s="226"/>
      <c r="KE120" s="226"/>
      <c r="KF120" s="226"/>
      <c r="KG120" s="226"/>
    </row>
    <row r="121" customFormat="false" ht="22.5" hidden="false" customHeight="true" outlineLevel="1" collapsed="false">
      <c r="B121" s="75" t="s">
        <v>338</v>
      </c>
      <c r="C121" s="217" t="s">
        <v>339</v>
      </c>
      <c r="D121" s="127" t="s">
        <v>174</v>
      </c>
      <c r="E121" s="218" t="n">
        <v>3</v>
      </c>
      <c r="F121" s="219" t="n">
        <v>0</v>
      </c>
      <c r="G121" s="220" t="n">
        <f aca="false">E121-F121</f>
        <v>3</v>
      </c>
      <c r="H121" s="221" t="n">
        <v>3</v>
      </c>
      <c r="I121" s="222" t="n">
        <v>5.15</v>
      </c>
      <c r="J121" s="134" t="n">
        <v>46289</v>
      </c>
      <c r="K121" s="134" t="n">
        <v>46290</v>
      </c>
      <c r="L121" s="143" t="n">
        <f aca="false">K121-J121</f>
        <v>1</v>
      </c>
      <c r="M121" s="224" t="n">
        <f aca="false">IFERROR(F121/E121,"")</f>
        <v>0</v>
      </c>
      <c r="N121" s="225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  <c r="AA121" s="226"/>
      <c r="AB121" s="226"/>
      <c r="AC121" s="226"/>
      <c r="AD121" s="226"/>
      <c r="AE121" s="226"/>
      <c r="AF121" s="226"/>
      <c r="AG121" s="226"/>
      <c r="AH121" s="226"/>
      <c r="AI121" s="226"/>
      <c r="AJ121" s="227"/>
      <c r="AK121" s="228"/>
      <c r="AL121" s="226"/>
      <c r="AM121" s="226"/>
      <c r="AN121" s="226"/>
      <c r="AO121" s="226"/>
      <c r="AP121" s="226"/>
      <c r="AQ121" s="226"/>
      <c r="AR121" s="226"/>
      <c r="AS121" s="226"/>
      <c r="AT121" s="226"/>
      <c r="AU121" s="226"/>
      <c r="AV121" s="226"/>
      <c r="AW121" s="226"/>
      <c r="AX121" s="226"/>
      <c r="AY121" s="226"/>
      <c r="AZ121" s="226"/>
      <c r="BA121" s="226"/>
      <c r="BB121" s="226"/>
      <c r="BC121" s="226"/>
      <c r="BD121" s="226"/>
      <c r="BE121" s="226"/>
      <c r="BF121" s="226"/>
      <c r="BG121" s="226"/>
      <c r="BH121" s="226"/>
      <c r="BI121" s="226"/>
      <c r="BJ121" s="226"/>
      <c r="BK121" s="226"/>
      <c r="BL121" s="226"/>
      <c r="BM121" s="226"/>
      <c r="BN121" s="227"/>
      <c r="BO121" s="228"/>
      <c r="BP121" s="226"/>
      <c r="BQ121" s="226"/>
      <c r="BR121" s="226"/>
      <c r="BS121" s="226"/>
      <c r="BT121" s="226"/>
      <c r="BU121" s="226"/>
      <c r="BV121" s="226"/>
      <c r="BW121" s="226"/>
      <c r="BX121" s="226"/>
      <c r="BY121" s="226"/>
      <c r="BZ121" s="226"/>
      <c r="CA121" s="226"/>
      <c r="CB121" s="226"/>
      <c r="CC121" s="226"/>
      <c r="CD121" s="226"/>
      <c r="CE121" s="226"/>
      <c r="CF121" s="226"/>
      <c r="CG121" s="226"/>
      <c r="CH121" s="226"/>
      <c r="CI121" s="226"/>
      <c r="CJ121" s="226"/>
      <c r="CK121" s="226"/>
      <c r="CL121" s="226"/>
      <c r="CM121" s="226"/>
      <c r="CN121" s="226"/>
      <c r="CO121" s="226"/>
      <c r="CP121" s="226"/>
      <c r="CQ121" s="226"/>
      <c r="CR121" s="226"/>
      <c r="CS121" s="229"/>
      <c r="CT121" s="228"/>
      <c r="CU121" s="226"/>
      <c r="CV121" s="226"/>
      <c r="CW121" s="226"/>
      <c r="CX121" s="226"/>
      <c r="CY121" s="226"/>
      <c r="CZ121" s="226"/>
      <c r="DA121" s="226"/>
      <c r="DB121" s="226"/>
      <c r="DC121" s="226"/>
      <c r="DD121" s="226"/>
      <c r="DE121" s="226"/>
      <c r="DF121" s="226"/>
      <c r="DG121" s="226"/>
      <c r="DH121" s="226"/>
      <c r="DI121" s="226"/>
      <c r="DJ121" s="226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30"/>
      <c r="DV121" s="225"/>
      <c r="DW121" s="226"/>
      <c r="DX121" s="226"/>
      <c r="DY121" s="226"/>
      <c r="DZ121" s="226"/>
      <c r="EA121" s="226"/>
      <c r="EB121" s="226"/>
      <c r="EC121" s="226"/>
      <c r="ED121" s="227"/>
      <c r="EE121" s="228"/>
      <c r="EF121" s="226"/>
      <c r="EG121" s="226"/>
      <c r="EH121" s="226"/>
      <c r="EI121" s="226"/>
      <c r="EJ121" s="226"/>
      <c r="EK121" s="226"/>
      <c r="EL121" s="226"/>
      <c r="EM121" s="226"/>
      <c r="EN121" s="226"/>
      <c r="EO121" s="226"/>
      <c r="EP121" s="226"/>
      <c r="EQ121" s="226"/>
      <c r="ER121" s="226"/>
      <c r="ES121" s="226"/>
      <c r="ET121" s="226"/>
      <c r="EU121" s="226"/>
      <c r="EV121" s="226"/>
      <c r="EW121" s="226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226"/>
      <c r="FH121" s="226"/>
      <c r="FI121" s="227"/>
      <c r="FJ121" s="228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226"/>
      <c r="FU121" s="226"/>
      <c r="FV121" s="226"/>
      <c r="FW121" s="226"/>
      <c r="FX121" s="226"/>
      <c r="FY121" s="226"/>
      <c r="FZ121" s="226"/>
      <c r="GA121" s="226"/>
      <c r="GB121" s="226"/>
      <c r="GC121" s="226"/>
      <c r="GD121" s="226"/>
      <c r="GE121" s="226"/>
      <c r="GF121" s="226"/>
      <c r="GG121" s="226"/>
      <c r="GH121" s="226"/>
      <c r="GI121" s="226"/>
      <c r="GJ121" s="226"/>
      <c r="GK121" s="226"/>
      <c r="GL121" s="226"/>
      <c r="GM121" s="226"/>
      <c r="GN121" s="227"/>
      <c r="GO121" s="228"/>
      <c r="GP121" s="226"/>
      <c r="GQ121" s="226"/>
      <c r="GR121" s="226"/>
      <c r="GS121" s="226"/>
      <c r="GT121" s="226"/>
      <c r="GU121" s="226"/>
      <c r="GV121" s="226"/>
      <c r="GW121" s="226"/>
      <c r="GX121" s="226"/>
      <c r="GY121" s="226"/>
      <c r="GZ121" s="226"/>
      <c r="HA121" s="226"/>
      <c r="HB121" s="226"/>
      <c r="HC121" s="226"/>
      <c r="HD121" s="226"/>
      <c r="HE121" s="226"/>
      <c r="HF121" s="226"/>
      <c r="HG121" s="226"/>
      <c r="HH121" s="226"/>
      <c r="HI121" s="226"/>
      <c r="HJ121" s="226"/>
      <c r="HK121" s="226"/>
      <c r="HL121" s="226"/>
      <c r="HM121" s="226"/>
      <c r="HN121" s="226"/>
      <c r="HO121" s="230"/>
      <c r="HP121" s="225"/>
      <c r="HQ121" s="226"/>
      <c r="HR121" s="227"/>
      <c r="HS121" s="228"/>
      <c r="HT121" s="226"/>
      <c r="HU121" s="226"/>
      <c r="HV121" s="226"/>
      <c r="HW121" s="226"/>
      <c r="HX121" s="226"/>
      <c r="HY121" s="226"/>
      <c r="HZ121" s="226"/>
      <c r="IA121" s="226"/>
      <c r="IB121" s="226"/>
      <c r="IC121" s="226"/>
      <c r="ID121" s="226"/>
      <c r="IE121" s="226"/>
      <c r="IF121" s="226"/>
      <c r="IG121" s="226"/>
      <c r="IH121" s="226"/>
      <c r="II121" s="226"/>
      <c r="IJ121" s="226"/>
      <c r="IK121" s="226"/>
      <c r="IL121" s="226"/>
      <c r="IM121" s="226"/>
      <c r="IN121" s="226"/>
      <c r="IO121" s="226"/>
      <c r="IP121" s="226"/>
      <c r="IQ121" s="226"/>
      <c r="IR121" s="226"/>
      <c r="IS121" s="226"/>
      <c r="IT121" s="226"/>
      <c r="IU121" s="226"/>
      <c r="IV121" s="226"/>
      <c r="IW121" s="227"/>
      <c r="IX121" s="230"/>
      <c r="IY121" s="225"/>
      <c r="IZ121" s="226"/>
      <c r="JA121" s="226"/>
      <c r="JB121" s="226"/>
      <c r="JC121" s="226"/>
      <c r="JD121" s="226"/>
      <c r="JE121" s="226"/>
      <c r="JF121" s="226"/>
      <c r="JG121" s="226"/>
      <c r="JH121" s="226"/>
      <c r="JI121" s="226"/>
      <c r="JJ121" s="226"/>
      <c r="JK121" s="226"/>
      <c r="JL121" s="226"/>
      <c r="JM121" s="226"/>
      <c r="JN121" s="226"/>
      <c r="JO121" s="226"/>
      <c r="JP121" s="226"/>
      <c r="JQ121" s="226"/>
      <c r="JR121" s="226"/>
      <c r="JS121" s="226"/>
      <c r="JT121" s="226"/>
      <c r="JU121" s="226"/>
      <c r="JV121" s="226"/>
      <c r="JW121" s="226"/>
      <c r="JX121" s="226"/>
      <c r="JY121" s="226"/>
      <c r="JZ121" s="226"/>
      <c r="KA121" s="227"/>
      <c r="KB121" s="228"/>
      <c r="KC121" s="226"/>
      <c r="KD121" s="226"/>
      <c r="KE121" s="226"/>
      <c r="KF121" s="226"/>
      <c r="KG121" s="226"/>
    </row>
    <row r="122" customFormat="false" ht="22.5" hidden="false" customHeight="true" outlineLevel="1" collapsed="false">
      <c r="B122" s="75" t="s">
        <v>340</v>
      </c>
      <c r="C122" s="217" t="s">
        <v>341</v>
      </c>
      <c r="D122" s="127" t="s">
        <v>342</v>
      </c>
      <c r="E122" s="218" t="n">
        <v>2</v>
      </c>
      <c r="F122" s="219" t="n">
        <v>0</v>
      </c>
      <c r="G122" s="220" t="n">
        <f aca="false">E122-F122</f>
        <v>2</v>
      </c>
      <c r="H122" s="221" t="n">
        <v>3</v>
      </c>
      <c r="I122" s="222" t="n">
        <v>5.16</v>
      </c>
      <c r="J122" s="134" t="n">
        <v>46290</v>
      </c>
      <c r="K122" s="134" t="n">
        <v>46290</v>
      </c>
      <c r="L122" s="143" t="n">
        <f aca="false">K122-J122</f>
        <v>0</v>
      </c>
      <c r="M122" s="224" t="n">
        <f aca="false">IFERROR(F122/E122,"")</f>
        <v>0</v>
      </c>
      <c r="N122" s="225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6"/>
      <c r="AD122" s="226"/>
      <c r="AE122" s="226"/>
      <c r="AF122" s="226"/>
      <c r="AG122" s="226"/>
      <c r="AH122" s="226"/>
      <c r="AI122" s="226"/>
      <c r="AJ122" s="227"/>
      <c r="AK122" s="228"/>
      <c r="AL122" s="226"/>
      <c r="AM122" s="226"/>
      <c r="AN122" s="226"/>
      <c r="AO122" s="226"/>
      <c r="AP122" s="226"/>
      <c r="AQ122" s="226"/>
      <c r="AR122" s="226"/>
      <c r="AS122" s="226"/>
      <c r="AT122" s="226"/>
      <c r="AU122" s="226"/>
      <c r="AV122" s="226"/>
      <c r="AW122" s="226"/>
      <c r="AX122" s="226"/>
      <c r="AY122" s="226"/>
      <c r="AZ122" s="226"/>
      <c r="BA122" s="226"/>
      <c r="BB122" s="226"/>
      <c r="BC122" s="226"/>
      <c r="BD122" s="226"/>
      <c r="BE122" s="226"/>
      <c r="BF122" s="226"/>
      <c r="BG122" s="226"/>
      <c r="BH122" s="226"/>
      <c r="BI122" s="226"/>
      <c r="BJ122" s="226"/>
      <c r="BK122" s="226"/>
      <c r="BL122" s="226"/>
      <c r="BM122" s="226"/>
      <c r="BN122" s="227"/>
      <c r="BO122" s="228"/>
      <c r="BP122" s="226"/>
      <c r="BQ122" s="226"/>
      <c r="BR122" s="226"/>
      <c r="BS122" s="226"/>
      <c r="BT122" s="226"/>
      <c r="BU122" s="226"/>
      <c r="BV122" s="226"/>
      <c r="BW122" s="226"/>
      <c r="BX122" s="226"/>
      <c r="BY122" s="226"/>
      <c r="BZ122" s="226"/>
      <c r="CA122" s="226"/>
      <c r="CB122" s="226"/>
      <c r="CC122" s="226"/>
      <c r="CD122" s="226"/>
      <c r="CE122" s="226"/>
      <c r="CF122" s="226"/>
      <c r="CG122" s="226"/>
      <c r="CH122" s="226"/>
      <c r="CI122" s="226"/>
      <c r="CJ122" s="226"/>
      <c r="CK122" s="226"/>
      <c r="CL122" s="226"/>
      <c r="CM122" s="226"/>
      <c r="CN122" s="226"/>
      <c r="CO122" s="226"/>
      <c r="CP122" s="226"/>
      <c r="CQ122" s="226"/>
      <c r="CR122" s="226"/>
      <c r="CS122" s="229"/>
      <c r="CT122" s="228"/>
      <c r="CU122" s="226"/>
      <c r="CV122" s="226"/>
      <c r="CW122" s="226"/>
      <c r="CX122" s="226"/>
      <c r="CY122" s="226"/>
      <c r="CZ122" s="226"/>
      <c r="DA122" s="226"/>
      <c r="DB122" s="226"/>
      <c r="DC122" s="226"/>
      <c r="DD122" s="226"/>
      <c r="DE122" s="226"/>
      <c r="DF122" s="226"/>
      <c r="DG122" s="226"/>
      <c r="DH122" s="226"/>
      <c r="DI122" s="226"/>
      <c r="DJ122" s="226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30"/>
      <c r="DV122" s="225"/>
      <c r="DW122" s="226"/>
      <c r="DX122" s="226"/>
      <c r="DY122" s="226"/>
      <c r="DZ122" s="226"/>
      <c r="EA122" s="226"/>
      <c r="EB122" s="226"/>
      <c r="EC122" s="226"/>
      <c r="ED122" s="227"/>
      <c r="EE122" s="228"/>
      <c r="EF122" s="226"/>
      <c r="EG122" s="226"/>
      <c r="EH122" s="226"/>
      <c r="EI122" s="226"/>
      <c r="EJ122" s="226"/>
      <c r="EK122" s="226"/>
      <c r="EL122" s="226"/>
      <c r="EM122" s="226"/>
      <c r="EN122" s="226"/>
      <c r="EO122" s="226"/>
      <c r="EP122" s="226"/>
      <c r="EQ122" s="226"/>
      <c r="ER122" s="226"/>
      <c r="ES122" s="226"/>
      <c r="ET122" s="226"/>
      <c r="EU122" s="226"/>
      <c r="EV122" s="226"/>
      <c r="EW122" s="226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226"/>
      <c r="FH122" s="226"/>
      <c r="FI122" s="227"/>
      <c r="FJ122" s="228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226"/>
      <c r="FU122" s="226"/>
      <c r="FV122" s="226"/>
      <c r="FW122" s="226"/>
      <c r="FX122" s="226"/>
      <c r="FY122" s="226"/>
      <c r="FZ122" s="226"/>
      <c r="GA122" s="226"/>
      <c r="GB122" s="226"/>
      <c r="GC122" s="226"/>
      <c r="GD122" s="226"/>
      <c r="GE122" s="226"/>
      <c r="GF122" s="226"/>
      <c r="GG122" s="226"/>
      <c r="GH122" s="226"/>
      <c r="GI122" s="226"/>
      <c r="GJ122" s="226"/>
      <c r="GK122" s="226"/>
      <c r="GL122" s="226"/>
      <c r="GM122" s="226"/>
      <c r="GN122" s="227"/>
      <c r="GO122" s="228"/>
      <c r="GP122" s="226"/>
      <c r="GQ122" s="226"/>
      <c r="GR122" s="226"/>
      <c r="GS122" s="226"/>
      <c r="GT122" s="226"/>
      <c r="GU122" s="226"/>
      <c r="GV122" s="226"/>
      <c r="GW122" s="226"/>
      <c r="GX122" s="226"/>
      <c r="GY122" s="226"/>
      <c r="GZ122" s="226"/>
      <c r="HA122" s="226"/>
      <c r="HB122" s="226"/>
      <c r="HC122" s="226"/>
      <c r="HD122" s="226"/>
      <c r="HE122" s="226"/>
      <c r="HF122" s="226"/>
      <c r="HG122" s="226"/>
      <c r="HH122" s="226"/>
      <c r="HI122" s="226"/>
      <c r="HJ122" s="226"/>
      <c r="HK122" s="226"/>
      <c r="HL122" s="226"/>
      <c r="HM122" s="226"/>
      <c r="HN122" s="226"/>
      <c r="HO122" s="230"/>
      <c r="HP122" s="225"/>
      <c r="HQ122" s="226"/>
      <c r="HR122" s="227"/>
      <c r="HS122" s="228"/>
      <c r="HT122" s="226"/>
      <c r="HU122" s="226"/>
      <c r="HV122" s="226"/>
      <c r="HW122" s="226"/>
      <c r="HX122" s="226"/>
      <c r="HY122" s="226"/>
      <c r="HZ122" s="226"/>
      <c r="IA122" s="226"/>
      <c r="IB122" s="226"/>
      <c r="IC122" s="226"/>
      <c r="ID122" s="226"/>
      <c r="IE122" s="226"/>
      <c r="IF122" s="226"/>
      <c r="IG122" s="226"/>
      <c r="IH122" s="226"/>
      <c r="II122" s="226"/>
      <c r="IJ122" s="226"/>
      <c r="IK122" s="226"/>
      <c r="IL122" s="226"/>
      <c r="IM122" s="226"/>
      <c r="IN122" s="226"/>
      <c r="IO122" s="226"/>
      <c r="IP122" s="226"/>
      <c r="IQ122" s="226"/>
      <c r="IR122" s="226"/>
      <c r="IS122" s="226"/>
      <c r="IT122" s="226"/>
      <c r="IU122" s="226"/>
      <c r="IV122" s="226"/>
      <c r="IW122" s="227"/>
      <c r="IX122" s="230"/>
      <c r="IY122" s="225"/>
      <c r="IZ122" s="226"/>
      <c r="JA122" s="226"/>
      <c r="JB122" s="226"/>
      <c r="JC122" s="226"/>
      <c r="JD122" s="226"/>
      <c r="JE122" s="226"/>
      <c r="JF122" s="226"/>
      <c r="JG122" s="226"/>
      <c r="JH122" s="226"/>
      <c r="JI122" s="226"/>
      <c r="JJ122" s="226"/>
      <c r="JK122" s="226"/>
      <c r="JL122" s="226"/>
      <c r="JM122" s="226"/>
      <c r="JN122" s="226"/>
      <c r="JO122" s="226"/>
      <c r="JP122" s="226"/>
      <c r="JQ122" s="226"/>
      <c r="JR122" s="226"/>
      <c r="JS122" s="226"/>
      <c r="JT122" s="226"/>
      <c r="JU122" s="226"/>
      <c r="JV122" s="226"/>
      <c r="JW122" s="226"/>
      <c r="JX122" s="226"/>
      <c r="JY122" s="226"/>
      <c r="JZ122" s="226"/>
      <c r="KA122" s="227"/>
      <c r="KB122" s="228"/>
      <c r="KC122" s="226"/>
      <c r="KD122" s="226"/>
      <c r="KE122" s="226"/>
      <c r="KF122" s="226"/>
      <c r="KG122" s="226"/>
    </row>
    <row r="123" customFormat="false" ht="22.5" hidden="false" customHeight="true" outlineLevel="1" collapsed="false">
      <c r="B123" s="75" t="s">
        <v>343</v>
      </c>
      <c r="C123" s="217" t="s">
        <v>344</v>
      </c>
      <c r="D123" s="127" t="s">
        <v>240</v>
      </c>
      <c r="E123" s="218" t="n">
        <v>3</v>
      </c>
      <c r="F123" s="219" t="n">
        <v>0</v>
      </c>
      <c r="G123" s="220" t="n">
        <f aca="false">E123-F123</f>
        <v>3</v>
      </c>
      <c r="H123" s="221" t="n">
        <v>4</v>
      </c>
      <c r="I123" s="222" t="n">
        <v>5.3</v>
      </c>
      <c r="J123" s="134" t="n">
        <v>46290</v>
      </c>
      <c r="K123" s="134" t="n">
        <v>46290</v>
      </c>
      <c r="L123" s="143" t="n">
        <f aca="false">K123-J123</f>
        <v>0</v>
      </c>
      <c r="M123" s="224" t="n">
        <f aca="false">IFERROR(F123/E123,"")</f>
        <v>0</v>
      </c>
      <c r="N123" s="225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  <c r="AA123" s="226"/>
      <c r="AB123" s="226"/>
      <c r="AC123" s="226"/>
      <c r="AD123" s="226"/>
      <c r="AE123" s="226"/>
      <c r="AF123" s="226"/>
      <c r="AG123" s="226"/>
      <c r="AH123" s="226"/>
      <c r="AI123" s="226"/>
      <c r="AJ123" s="227"/>
      <c r="AK123" s="228"/>
      <c r="AL123" s="226"/>
      <c r="AM123" s="226"/>
      <c r="AN123" s="226"/>
      <c r="AO123" s="226"/>
      <c r="AP123" s="226"/>
      <c r="AQ123" s="226"/>
      <c r="AR123" s="226"/>
      <c r="AS123" s="226"/>
      <c r="AT123" s="226"/>
      <c r="AU123" s="226"/>
      <c r="AV123" s="226"/>
      <c r="AW123" s="226"/>
      <c r="AX123" s="226"/>
      <c r="AY123" s="226"/>
      <c r="AZ123" s="226"/>
      <c r="BA123" s="226"/>
      <c r="BB123" s="226"/>
      <c r="BC123" s="226"/>
      <c r="BD123" s="226"/>
      <c r="BE123" s="226"/>
      <c r="BF123" s="226"/>
      <c r="BG123" s="226"/>
      <c r="BH123" s="226"/>
      <c r="BI123" s="226"/>
      <c r="BJ123" s="226"/>
      <c r="BK123" s="226"/>
      <c r="BL123" s="226"/>
      <c r="BM123" s="226"/>
      <c r="BN123" s="227"/>
      <c r="BO123" s="228"/>
      <c r="BP123" s="226"/>
      <c r="BQ123" s="226"/>
      <c r="BR123" s="226"/>
      <c r="BS123" s="226"/>
      <c r="BT123" s="226"/>
      <c r="BU123" s="226"/>
      <c r="BV123" s="226"/>
      <c r="BW123" s="226"/>
      <c r="BX123" s="226"/>
      <c r="BY123" s="226"/>
      <c r="BZ123" s="226"/>
      <c r="CA123" s="226"/>
      <c r="CB123" s="226"/>
      <c r="CC123" s="226"/>
      <c r="CD123" s="226"/>
      <c r="CE123" s="226"/>
      <c r="CF123" s="226"/>
      <c r="CG123" s="226"/>
      <c r="CH123" s="226"/>
      <c r="CI123" s="226"/>
      <c r="CJ123" s="226"/>
      <c r="CK123" s="226"/>
      <c r="CL123" s="226"/>
      <c r="CM123" s="226"/>
      <c r="CN123" s="226"/>
      <c r="CO123" s="226"/>
      <c r="CP123" s="226"/>
      <c r="CQ123" s="226"/>
      <c r="CR123" s="226"/>
      <c r="CS123" s="229"/>
      <c r="CT123" s="228"/>
      <c r="CU123" s="226"/>
      <c r="CV123" s="226"/>
      <c r="CW123" s="226"/>
      <c r="CX123" s="226"/>
      <c r="CY123" s="226"/>
      <c r="CZ123" s="226"/>
      <c r="DA123" s="226"/>
      <c r="DB123" s="226"/>
      <c r="DC123" s="226"/>
      <c r="DD123" s="226"/>
      <c r="DE123" s="226"/>
      <c r="DF123" s="226"/>
      <c r="DG123" s="226"/>
      <c r="DH123" s="226"/>
      <c r="DI123" s="226"/>
      <c r="DJ123" s="226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30"/>
      <c r="DV123" s="225"/>
      <c r="DW123" s="226"/>
      <c r="DX123" s="226"/>
      <c r="DY123" s="226"/>
      <c r="DZ123" s="226"/>
      <c r="EA123" s="226"/>
      <c r="EB123" s="226"/>
      <c r="EC123" s="226"/>
      <c r="ED123" s="227"/>
      <c r="EE123" s="228"/>
      <c r="EF123" s="226"/>
      <c r="EG123" s="226"/>
      <c r="EH123" s="226"/>
      <c r="EI123" s="226"/>
      <c r="EJ123" s="226"/>
      <c r="EK123" s="226"/>
      <c r="EL123" s="226"/>
      <c r="EM123" s="226"/>
      <c r="EN123" s="226"/>
      <c r="EO123" s="226"/>
      <c r="EP123" s="226"/>
      <c r="EQ123" s="226"/>
      <c r="ER123" s="226"/>
      <c r="ES123" s="226"/>
      <c r="ET123" s="226"/>
      <c r="EU123" s="226"/>
      <c r="EV123" s="226"/>
      <c r="EW123" s="226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226"/>
      <c r="FH123" s="226"/>
      <c r="FI123" s="227"/>
      <c r="FJ123" s="228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226"/>
      <c r="FU123" s="226"/>
      <c r="FV123" s="226"/>
      <c r="FW123" s="226"/>
      <c r="FX123" s="226"/>
      <c r="FY123" s="226"/>
      <c r="FZ123" s="226"/>
      <c r="GA123" s="226"/>
      <c r="GB123" s="226"/>
      <c r="GC123" s="226"/>
      <c r="GD123" s="226"/>
      <c r="GE123" s="226"/>
      <c r="GF123" s="226"/>
      <c r="GG123" s="226"/>
      <c r="GH123" s="226"/>
      <c r="GI123" s="226"/>
      <c r="GJ123" s="226"/>
      <c r="GK123" s="226"/>
      <c r="GL123" s="226"/>
      <c r="GM123" s="226"/>
      <c r="GN123" s="227"/>
      <c r="GO123" s="228"/>
      <c r="GP123" s="226"/>
      <c r="GQ123" s="226"/>
      <c r="GR123" s="226"/>
      <c r="GS123" s="226"/>
      <c r="GT123" s="226"/>
      <c r="GU123" s="226"/>
      <c r="GV123" s="226"/>
      <c r="GW123" s="226"/>
      <c r="GX123" s="226"/>
      <c r="GY123" s="226"/>
      <c r="GZ123" s="226"/>
      <c r="HA123" s="226"/>
      <c r="HB123" s="226"/>
      <c r="HC123" s="226"/>
      <c r="HD123" s="226"/>
      <c r="HE123" s="226"/>
      <c r="HF123" s="226"/>
      <c r="HG123" s="226"/>
      <c r="HH123" s="226"/>
      <c r="HI123" s="226"/>
      <c r="HJ123" s="226"/>
      <c r="HK123" s="226"/>
      <c r="HL123" s="226"/>
      <c r="HM123" s="226"/>
      <c r="HN123" s="226"/>
      <c r="HO123" s="230"/>
      <c r="HP123" s="225"/>
      <c r="HQ123" s="226"/>
      <c r="HR123" s="227"/>
      <c r="HS123" s="228"/>
      <c r="HT123" s="226"/>
      <c r="HU123" s="226"/>
      <c r="HV123" s="226"/>
      <c r="HW123" s="226"/>
      <c r="HX123" s="226"/>
      <c r="HY123" s="226"/>
      <c r="HZ123" s="226"/>
      <c r="IA123" s="226"/>
      <c r="IB123" s="226"/>
      <c r="IC123" s="226"/>
      <c r="ID123" s="226"/>
      <c r="IE123" s="226"/>
      <c r="IF123" s="226"/>
      <c r="IG123" s="226"/>
      <c r="IH123" s="226"/>
      <c r="II123" s="226"/>
      <c r="IJ123" s="226"/>
      <c r="IK123" s="226"/>
      <c r="IL123" s="226"/>
      <c r="IM123" s="226"/>
      <c r="IN123" s="226"/>
      <c r="IO123" s="226"/>
      <c r="IP123" s="226"/>
      <c r="IQ123" s="226"/>
      <c r="IR123" s="226"/>
      <c r="IS123" s="226"/>
      <c r="IT123" s="226"/>
      <c r="IU123" s="226"/>
      <c r="IV123" s="226"/>
      <c r="IW123" s="227"/>
      <c r="IX123" s="230"/>
      <c r="IY123" s="225"/>
      <c r="IZ123" s="226"/>
      <c r="JA123" s="226"/>
      <c r="JB123" s="226"/>
      <c r="JC123" s="226"/>
      <c r="JD123" s="226"/>
      <c r="JE123" s="226"/>
      <c r="JF123" s="226"/>
      <c r="JG123" s="226"/>
      <c r="JH123" s="226"/>
      <c r="JI123" s="226"/>
      <c r="JJ123" s="226"/>
      <c r="JK123" s="226"/>
      <c r="JL123" s="226"/>
      <c r="JM123" s="226"/>
      <c r="JN123" s="226"/>
      <c r="JO123" s="226"/>
      <c r="JP123" s="226"/>
      <c r="JQ123" s="226"/>
      <c r="JR123" s="226"/>
      <c r="JS123" s="226"/>
      <c r="JT123" s="226"/>
      <c r="JU123" s="226"/>
      <c r="JV123" s="226"/>
      <c r="JW123" s="226"/>
      <c r="JX123" s="226"/>
      <c r="JY123" s="226"/>
      <c r="JZ123" s="226"/>
      <c r="KA123" s="227"/>
      <c r="KB123" s="228"/>
      <c r="KC123" s="226"/>
      <c r="KD123" s="226"/>
      <c r="KE123" s="226"/>
      <c r="KF123" s="226"/>
      <c r="KG123" s="226"/>
    </row>
    <row r="124" customFormat="false" ht="22.5" hidden="false" customHeight="true" outlineLevel="1" collapsed="false">
      <c r="B124" s="75" t="s">
        <v>345</v>
      </c>
      <c r="C124" s="217" t="s">
        <v>346</v>
      </c>
      <c r="D124" s="127" t="s">
        <v>347</v>
      </c>
      <c r="E124" s="218" t="n">
        <v>2</v>
      </c>
      <c r="F124" s="219" t="n">
        <v>0</v>
      </c>
      <c r="G124" s="220" t="n">
        <f aca="false">E124-F124</f>
        <v>2</v>
      </c>
      <c r="H124" s="221" t="n">
        <v>4</v>
      </c>
      <c r="I124" s="222" t="n">
        <v>5.18</v>
      </c>
      <c r="J124" s="134" t="n">
        <v>46291</v>
      </c>
      <c r="K124" s="134" t="n">
        <v>46293</v>
      </c>
      <c r="L124" s="143" t="n">
        <f aca="false">K124-J124</f>
        <v>2</v>
      </c>
      <c r="M124" s="224" t="n">
        <f aca="false">IFERROR(F124/E124,"")</f>
        <v>0</v>
      </c>
      <c r="N124" s="225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6"/>
      <c r="AD124" s="226"/>
      <c r="AE124" s="226"/>
      <c r="AF124" s="226"/>
      <c r="AG124" s="226"/>
      <c r="AH124" s="226"/>
      <c r="AI124" s="226"/>
      <c r="AJ124" s="227"/>
      <c r="AK124" s="228"/>
      <c r="AL124" s="226"/>
      <c r="AM124" s="226"/>
      <c r="AN124" s="226"/>
      <c r="AO124" s="226"/>
      <c r="AP124" s="226"/>
      <c r="AQ124" s="226"/>
      <c r="AR124" s="226"/>
      <c r="AS124" s="226"/>
      <c r="AT124" s="226"/>
      <c r="AU124" s="226"/>
      <c r="AV124" s="226"/>
      <c r="AW124" s="226"/>
      <c r="AX124" s="226"/>
      <c r="AY124" s="226"/>
      <c r="AZ124" s="226"/>
      <c r="BA124" s="226"/>
      <c r="BB124" s="226"/>
      <c r="BC124" s="226"/>
      <c r="BD124" s="226"/>
      <c r="BE124" s="226"/>
      <c r="BF124" s="226"/>
      <c r="BG124" s="226"/>
      <c r="BH124" s="226"/>
      <c r="BI124" s="226"/>
      <c r="BJ124" s="226"/>
      <c r="BK124" s="226"/>
      <c r="BL124" s="226"/>
      <c r="BM124" s="226"/>
      <c r="BN124" s="227"/>
      <c r="BO124" s="228"/>
      <c r="BP124" s="226"/>
      <c r="BQ124" s="226"/>
      <c r="BR124" s="226"/>
      <c r="BS124" s="226"/>
      <c r="BT124" s="226"/>
      <c r="BU124" s="226"/>
      <c r="BV124" s="226"/>
      <c r="BW124" s="226"/>
      <c r="BX124" s="226"/>
      <c r="BY124" s="226"/>
      <c r="BZ124" s="226"/>
      <c r="CA124" s="226"/>
      <c r="CB124" s="226"/>
      <c r="CC124" s="226"/>
      <c r="CD124" s="226"/>
      <c r="CE124" s="226"/>
      <c r="CF124" s="226"/>
      <c r="CG124" s="226"/>
      <c r="CH124" s="226"/>
      <c r="CI124" s="226"/>
      <c r="CJ124" s="226"/>
      <c r="CK124" s="226"/>
      <c r="CL124" s="226"/>
      <c r="CM124" s="226"/>
      <c r="CN124" s="226"/>
      <c r="CO124" s="226"/>
      <c r="CP124" s="226"/>
      <c r="CQ124" s="226"/>
      <c r="CR124" s="226"/>
      <c r="CS124" s="229"/>
      <c r="CT124" s="228"/>
      <c r="CU124" s="226"/>
      <c r="CV124" s="226"/>
      <c r="CW124" s="226"/>
      <c r="CX124" s="226"/>
      <c r="CY124" s="226"/>
      <c r="CZ124" s="226"/>
      <c r="DA124" s="226"/>
      <c r="DB124" s="226"/>
      <c r="DC124" s="226"/>
      <c r="DD124" s="226"/>
      <c r="DE124" s="226"/>
      <c r="DF124" s="226"/>
      <c r="DG124" s="226"/>
      <c r="DH124" s="226"/>
      <c r="DI124" s="226"/>
      <c r="DJ124" s="226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30"/>
      <c r="DV124" s="225"/>
      <c r="DW124" s="226"/>
      <c r="DX124" s="226"/>
      <c r="DY124" s="226"/>
      <c r="DZ124" s="226"/>
      <c r="EA124" s="226"/>
      <c r="EB124" s="226"/>
      <c r="EC124" s="226"/>
      <c r="ED124" s="227"/>
      <c r="EE124" s="228"/>
      <c r="EF124" s="226"/>
      <c r="EG124" s="226"/>
      <c r="EH124" s="226"/>
      <c r="EI124" s="226"/>
      <c r="EJ124" s="226"/>
      <c r="EK124" s="226"/>
      <c r="EL124" s="226"/>
      <c r="EM124" s="226"/>
      <c r="EN124" s="226"/>
      <c r="EO124" s="226"/>
      <c r="EP124" s="226"/>
      <c r="EQ124" s="226"/>
      <c r="ER124" s="226"/>
      <c r="ES124" s="226"/>
      <c r="ET124" s="226"/>
      <c r="EU124" s="226"/>
      <c r="EV124" s="226"/>
      <c r="EW124" s="226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226"/>
      <c r="FH124" s="226"/>
      <c r="FI124" s="227"/>
      <c r="FJ124" s="228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226"/>
      <c r="FU124" s="226"/>
      <c r="FV124" s="226"/>
      <c r="FW124" s="226"/>
      <c r="FX124" s="226"/>
      <c r="FY124" s="226"/>
      <c r="FZ124" s="226"/>
      <c r="GA124" s="226"/>
      <c r="GB124" s="226"/>
      <c r="GC124" s="226"/>
      <c r="GD124" s="226"/>
      <c r="GE124" s="226"/>
      <c r="GF124" s="226"/>
      <c r="GG124" s="226"/>
      <c r="GH124" s="226"/>
      <c r="GI124" s="226"/>
      <c r="GJ124" s="226"/>
      <c r="GK124" s="226"/>
      <c r="GL124" s="226"/>
      <c r="GM124" s="226"/>
      <c r="GN124" s="227"/>
      <c r="GO124" s="228"/>
      <c r="GP124" s="226"/>
      <c r="GQ124" s="226"/>
      <c r="GR124" s="226"/>
      <c r="GS124" s="226"/>
      <c r="GT124" s="226"/>
      <c r="GU124" s="226"/>
      <c r="GV124" s="226"/>
      <c r="GW124" s="226"/>
      <c r="GX124" s="226"/>
      <c r="GY124" s="226"/>
      <c r="GZ124" s="226"/>
      <c r="HA124" s="226"/>
      <c r="HB124" s="226"/>
      <c r="HC124" s="226"/>
      <c r="HD124" s="226"/>
      <c r="HE124" s="226"/>
      <c r="HF124" s="226"/>
      <c r="HG124" s="226"/>
      <c r="HH124" s="226"/>
      <c r="HI124" s="226"/>
      <c r="HJ124" s="226"/>
      <c r="HK124" s="226"/>
      <c r="HL124" s="226"/>
      <c r="HM124" s="226"/>
      <c r="HN124" s="226"/>
      <c r="HO124" s="230"/>
      <c r="HP124" s="225"/>
      <c r="HQ124" s="226"/>
      <c r="HR124" s="227"/>
      <c r="HS124" s="228"/>
      <c r="HT124" s="226"/>
      <c r="HU124" s="226"/>
      <c r="HV124" s="226"/>
      <c r="HW124" s="226"/>
      <c r="HX124" s="226"/>
      <c r="HY124" s="226"/>
      <c r="HZ124" s="226"/>
      <c r="IA124" s="226"/>
      <c r="IB124" s="226"/>
      <c r="IC124" s="226"/>
      <c r="ID124" s="226"/>
      <c r="IE124" s="226"/>
      <c r="IF124" s="226"/>
      <c r="IG124" s="226"/>
      <c r="IH124" s="226"/>
      <c r="II124" s="226"/>
      <c r="IJ124" s="226"/>
      <c r="IK124" s="226"/>
      <c r="IL124" s="226"/>
      <c r="IM124" s="226"/>
      <c r="IN124" s="226"/>
      <c r="IO124" s="226"/>
      <c r="IP124" s="226"/>
      <c r="IQ124" s="226"/>
      <c r="IR124" s="226"/>
      <c r="IS124" s="226"/>
      <c r="IT124" s="226"/>
      <c r="IU124" s="226"/>
      <c r="IV124" s="226"/>
      <c r="IW124" s="227"/>
      <c r="IX124" s="230"/>
      <c r="IY124" s="225"/>
      <c r="IZ124" s="226"/>
      <c r="JA124" s="226"/>
      <c r="JB124" s="226"/>
      <c r="JC124" s="226"/>
      <c r="JD124" s="226"/>
      <c r="JE124" s="226"/>
      <c r="JF124" s="226"/>
      <c r="JG124" s="226"/>
      <c r="JH124" s="226"/>
      <c r="JI124" s="226"/>
      <c r="JJ124" s="226"/>
      <c r="JK124" s="226"/>
      <c r="JL124" s="226"/>
      <c r="JM124" s="226"/>
      <c r="JN124" s="226"/>
      <c r="JO124" s="226"/>
      <c r="JP124" s="226"/>
      <c r="JQ124" s="226"/>
      <c r="JR124" s="226"/>
      <c r="JS124" s="226"/>
      <c r="JT124" s="226"/>
      <c r="JU124" s="226"/>
      <c r="JV124" s="226"/>
      <c r="JW124" s="226"/>
      <c r="JX124" s="226"/>
      <c r="JY124" s="226"/>
      <c r="JZ124" s="226"/>
      <c r="KA124" s="227"/>
      <c r="KB124" s="228"/>
      <c r="KC124" s="226"/>
      <c r="KD124" s="226"/>
      <c r="KE124" s="226"/>
      <c r="KF124" s="226"/>
      <c r="KG124" s="226"/>
    </row>
    <row r="125" customFormat="false" ht="22.5" hidden="false" customHeight="true" outlineLevel="1" collapsed="false">
      <c r="B125" s="75" t="s">
        <v>348</v>
      </c>
      <c r="C125" s="217" t="s">
        <v>349</v>
      </c>
      <c r="D125" s="127" t="s">
        <v>174</v>
      </c>
      <c r="E125" s="218" t="n">
        <v>4</v>
      </c>
      <c r="F125" s="219" t="n">
        <v>4</v>
      </c>
      <c r="G125" s="220" t="n">
        <f aca="false">E125-F125</f>
        <v>0</v>
      </c>
      <c r="H125" s="221" t="n">
        <v>4</v>
      </c>
      <c r="I125" s="222" t="n">
        <v>5.11</v>
      </c>
      <c r="J125" s="134" t="n">
        <v>46291</v>
      </c>
      <c r="K125" s="134" t="n">
        <v>46297</v>
      </c>
      <c r="L125" s="143" t="n">
        <f aca="false">K125-J125</f>
        <v>6</v>
      </c>
      <c r="M125" s="224" t="n">
        <f aca="false">IFERROR(F125/E125,"")</f>
        <v>1</v>
      </c>
      <c r="N125" s="225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  <c r="AA125" s="226"/>
      <c r="AB125" s="226"/>
      <c r="AC125" s="226"/>
      <c r="AD125" s="226"/>
      <c r="AE125" s="226"/>
      <c r="AF125" s="226"/>
      <c r="AG125" s="226"/>
      <c r="AH125" s="226"/>
      <c r="AI125" s="226"/>
      <c r="AJ125" s="227"/>
      <c r="AK125" s="228"/>
      <c r="AL125" s="226"/>
      <c r="AM125" s="226"/>
      <c r="AN125" s="226"/>
      <c r="AO125" s="226"/>
      <c r="AP125" s="226"/>
      <c r="AQ125" s="226"/>
      <c r="AR125" s="226"/>
      <c r="AS125" s="226"/>
      <c r="AT125" s="226"/>
      <c r="AU125" s="226"/>
      <c r="AV125" s="226"/>
      <c r="AW125" s="226"/>
      <c r="AX125" s="226"/>
      <c r="AY125" s="226"/>
      <c r="AZ125" s="226"/>
      <c r="BA125" s="226"/>
      <c r="BB125" s="226"/>
      <c r="BC125" s="226"/>
      <c r="BD125" s="226"/>
      <c r="BE125" s="226"/>
      <c r="BF125" s="226"/>
      <c r="BG125" s="226"/>
      <c r="BH125" s="226"/>
      <c r="BI125" s="226"/>
      <c r="BJ125" s="226"/>
      <c r="BK125" s="226"/>
      <c r="BL125" s="226"/>
      <c r="BM125" s="226"/>
      <c r="BN125" s="227"/>
      <c r="BO125" s="228"/>
      <c r="BP125" s="226"/>
      <c r="BQ125" s="226"/>
      <c r="BR125" s="226"/>
      <c r="BS125" s="226"/>
      <c r="BT125" s="226"/>
      <c r="BU125" s="226"/>
      <c r="BV125" s="226"/>
      <c r="BW125" s="226"/>
      <c r="BX125" s="226"/>
      <c r="BY125" s="226"/>
      <c r="BZ125" s="226"/>
      <c r="CA125" s="226"/>
      <c r="CB125" s="226"/>
      <c r="CC125" s="226"/>
      <c r="CD125" s="226"/>
      <c r="CE125" s="226"/>
      <c r="CF125" s="226"/>
      <c r="CG125" s="226"/>
      <c r="CH125" s="226"/>
      <c r="CI125" s="226"/>
      <c r="CJ125" s="226"/>
      <c r="CK125" s="226"/>
      <c r="CL125" s="226"/>
      <c r="CM125" s="226"/>
      <c r="CN125" s="226"/>
      <c r="CO125" s="226"/>
      <c r="CP125" s="226"/>
      <c r="CQ125" s="226"/>
      <c r="CR125" s="226"/>
      <c r="CS125" s="229"/>
      <c r="CT125" s="228"/>
      <c r="CU125" s="226"/>
      <c r="CV125" s="226"/>
      <c r="CW125" s="226"/>
      <c r="CX125" s="226"/>
      <c r="CY125" s="226"/>
      <c r="CZ125" s="226"/>
      <c r="DA125" s="226"/>
      <c r="DB125" s="226"/>
      <c r="DC125" s="226"/>
      <c r="DD125" s="226"/>
      <c r="DE125" s="226"/>
      <c r="DF125" s="226"/>
      <c r="DG125" s="226"/>
      <c r="DH125" s="226"/>
      <c r="DI125" s="226"/>
      <c r="DJ125" s="226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30"/>
      <c r="DV125" s="225"/>
      <c r="DW125" s="226"/>
      <c r="DX125" s="226"/>
      <c r="DY125" s="226"/>
      <c r="DZ125" s="226"/>
      <c r="EA125" s="226"/>
      <c r="EB125" s="226"/>
      <c r="EC125" s="226"/>
      <c r="ED125" s="227"/>
      <c r="EE125" s="228"/>
      <c r="EF125" s="226"/>
      <c r="EG125" s="226"/>
      <c r="EH125" s="226"/>
      <c r="EI125" s="226"/>
      <c r="EJ125" s="226"/>
      <c r="EK125" s="226"/>
      <c r="EL125" s="226"/>
      <c r="EM125" s="226"/>
      <c r="EN125" s="226"/>
      <c r="EO125" s="226"/>
      <c r="EP125" s="226"/>
      <c r="EQ125" s="226"/>
      <c r="ER125" s="226"/>
      <c r="ES125" s="226"/>
      <c r="ET125" s="226"/>
      <c r="EU125" s="226"/>
      <c r="EV125" s="226"/>
      <c r="EW125" s="226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226"/>
      <c r="FH125" s="226"/>
      <c r="FI125" s="227"/>
      <c r="FJ125" s="228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226"/>
      <c r="FU125" s="226"/>
      <c r="FV125" s="226"/>
      <c r="FW125" s="226"/>
      <c r="FX125" s="226"/>
      <c r="FY125" s="226"/>
      <c r="FZ125" s="226"/>
      <c r="GA125" s="226"/>
      <c r="GB125" s="226"/>
      <c r="GC125" s="226"/>
      <c r="GD125" s="226"/>
      <c r="GE125" s="226"/>
      <c r="GF125" s="226"/>
      <c r="GG125" s="226"/>
      <c r="GH125" s="226"/>
      <c r="GI125" s="226"/>
      <c r="GJ125" s="226"/>
      <c r="GK125" s="226"/>
      <c r="GL125" s="226"/>
      <c r="GM125" s="226"/>
      <c r="GN125" s="227"/>
      <c r="GO125" s="228"/>
      <c r="GP125" s="226"/>
      <c r="GQ125" s="226"/>
      <c r="GR125" s="226"/>
      <c r="GS125" s="226"/>
      <c r="GT125" s="226"/>
      <c r="GU125" s="226"/>
      <c r="GV125" s="226"/>
      <c r="GW125" s="226"/>
      <c r="GX125" s="226"/>
      <c r="GY125" s="226"/>
      <c r="GZ125" s="226"/>
      <c r="HA125" s="226"/>
      <c r="HB125" s="226"/>
      <c r="HC125" s="226"/>
      <c r="HD125" s="226"/>
      <c r="HE125" s="226"/>
      <c r="HF125" s="226"/>
      <c r="HG125" s="226"/>
      <c r="HH125" s="226"/>
      <c r="HI125" s="226"/>
      <c r="HJ125" s="226"/>
      <c r="HK125" s="226"/>
      <c r="HL125" s="226"/>
      <c r="HM125" s="226"/>
      <c r="HN125" s="226"/>
      <c r="HO125" s="230"/>
      <c r="HP125" s="225"/>
      <c r="HQ125" s="226"/>
      <c r="HR125" s="227"/>
      <c r="HS125" s="228"/>
      <c r="HT125" s="226"/>
      <c r="HU125" s="226"/>
      <c r="HV125" s="226"/>
      <c r="HW125" s="226"/>
      <c r="HX125" s="226"/>
      <c r="HY125" s="226"/>
      <c r="HZ125" s="226"/>
      <c r="IA125" s="226"/>
      <c r="IB125" s="226"/>
      <c r="IC125" s="226"/>
      <c r="ID125" s="226"/>
      <c r="IE125" s="226"/>
      <c r="IF125" s="226"/>
      <c r="IG125" s="226"/>
      <c r="IH125" s="226"/>
      <c r="II125" s="226"/>
      <c r="IJ125" s="226"/>
      <c r="IK125" s="226"/>
      <c r="IL125" s="226"/>
      <c r="IM125" s="226"/>
      <c r="IN125" s="226"/>
      <c r="IO125" s="226"/>
      <c r="IP125" s="226"/>
      <c r="IQ125" s="226"/>
      <c r="IR125" s="226"/>
      <c r="IS125" s="226"/>
      <c r="IT125" s="226"/>
      <c r="IU125" s="226"/>
      <c r="IV125" s="226"/>
      <c r="IW125" s="227"/>
      <c r="IX125" s="230"/>
      <c r="IY125" s="225"/>
      <c r="IZ125" s="226"/>
      <c r="JA125" s="226"/>
      <c r="JB125" s="226"/>
      <c r="JC125" s="226"/>
      <c r="JD125" s="226"/>
      <c r="JE125" s="226"/>
      <c r="JF125" s="226"/>
      <c r="JG125" s="226"/>
      <c r="JH125" s="226"/>
      <c r="JI125" s="226"/>
      <c r="JJ125" s="226"/>
      <c r="JK125" s="226"/>
      <c r="JL125" s="226"/>
      <c r="JM125" s="226"/>
      <c r="JN125" s="226"/>
      <c r="JO125" s="226"/>
      <c r="JP125" s="226"/>
      <c r="JQ125" s="226"/>
      <c r="JR125" s="226"/>
      <c r="JS125" s="226"/>
      <c r="JT125" s="226"/>
      <c r="JU125" s="226"/>
      <c r="JV125" s="226"/>
      <c r="JW125" s="226"/>
      <c r="JX125" s="226"/>
      <c r="JY125" s="226"/>
      <c r="JZ125" s="226"/>
      <c r="KA125" s="227"/>
      <c r="KB125" s="228"/>
      <c r="KC125" s="226"/>
      <c r="KD125" s="226"/>
      <c r="KE125" s="226"/>
      <c r="KF125" s="226"/>
      <c r="KG125" s="226"/>
    </row>
    <row r="126" customFormat="false" ht="22.5" hidden="false" customHeight="true" outlineLevel="1" collapsed="false">
      <c r="B126" s="75" t="s">
        <v>350</v>
      </c>
      <c r="C126" s="217" t="s">
        <v>351</v>
      </c>
      <c r="D126" s="127" t="s">
        <v>97</v>
      </c>
      <c r="E126" s="218" t="n">
        <v>3</v>
      </c>
      <c r="F126" s="219" t="n">
        <v>0</v>
      </c>
      <c r="G126" s="220" t="n">
        <f aca="false">E126-F126</f>
        <v>3</v>
      </c>
      <c r="H126" s="221" t="n">
        <v>5</v>
      </c>
      <c r="I126" s="222" t="s">
        <v>352</v>
      </c>
      <c r="J126" s="134" t="n">
        <v>46301</v>
      </c>
      <c r="K126" s="134" t="n">
        <v>46304</v>
      </c>
      <c r="L126" s="143" t="n">
        <f aca="false">K126-J126</f>
        <v>3</v>
      </c>
      <c r="M126" s="224" t="n">
        <f aca="false">IFERROR(F126/E126,"")</f>
        <v>0</v>
      </c>
      <c r="N126" s="225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6"/>
      <c r="AD126" s="226"/>
      <c r="AE126" s="226"/>
      <c r="AF126" s="226"/>
      <c r="AG126" s="226"/>
      <c r="AH126" s="226"/>
      <c r="AI126" s="226"/>
      <c r="AJ126" s="227"/>
      <c r="AK126" s="228"/>
      <c r="AL126" s="226"/>
      <c r="AM126" s="226"/>
      <c r="AN126" s="226"/>
      <c r="AO126" s="226"/>
      <c r="AP126" s="226"/>
      <c r="AQ126" s="226"/>
      <c r="AR126" s="226"/>
      <c r="AS126" s="226"/>
      <c r="AT126" s="226"/>
      <c r="AU126" s="226"/>
      <c r="AV126" s="226"/>
      <c r="AW126" s="226"/>
      <c r="AX126" s="226"/>
      <c r="AY126" s="226"/>
      <c r="AZ126" s="226"/>
      <c r="BA126" s="226"/>
      <c r="BB126" s="226"/>
      <c r="BC126" s="226"/>
      <c r="BD126" s="226"/>
      <c r="BE126" s="226"/>
      <c r="BF126" s="226"/>
      <c r="BG126" s="226"/>
      <c r="BH126" s="226"/>
      <c r="BI126" s="226"/>
      <c r="BJ126" s="226"/>
      <c r="BK126" s="226"/>
      <c r="BL126" s="226"/>
      <c r="BM126" s="226"/>
      <c r="BN126" s="227"/>
      <c r="BO126" s="228"/>
      <c r="BP126" s="226"/>
      <c r="BQ126" s="226"/>
      <c r="BR126" s="226"/>
      <c r="BS126" s="226"/>
      <c r="BT126" s="226"/>
      <c r="BU126" s="226"/>
      <c r="BV126" s="226"/>
      <c r="BW126" s="226"/>
      <c r="BX126" s="226"/>
      <c r="BY126" s="226"/>
      <c r="BZ126" s="226"/>
      <c r="CA126" s="226"/>
      <c r="CB126" s="226"/>
      <c r="CC126" s="226"/>
      <c r="CD126" s="226"/>
      <c r="CE126" s="226"/>
      <c r="CF126" s="226"/>
      <c r="CG126" s="226"/>
      <c r="CH126" s="226"/>
      <c r="CI126" s="226"/>
      <c r="CJ126" s="226"/>
      <c r="CK126" s="226"/>
      <c r="CL126" s="226"/>
      <c r="CM126" s="226"/>
      <c r="CN126" s="226"/>
      <c r="CO126" s="226"/>
      <c r="CP126" s="226"/>
      <c r="CQ126" s="226"/>
      <c r="CR126" s="226"/>
      <c r="CS126" s="229"/>
      <c r="CT126" s="228"/>
      <c r="CU126" s="226"/>
      <c r="CV126" s="226"/>
      <c r="CW126" s="226"/>
      <c r="CX126" s="226"/>
      <c r="CY126" s="226"/>
      <c r="CZ126" s="226"/>
      <c r="DA126" s="226"/>
      <c r="DB126" s="226"/>
      <c r="DC126" s="226"/>
      <c r="DD126" s="226"/>
      <c r="DE126" s="226"/>
      <c r="DF126" s="226"/>
      <c r="DG126" s="226"/>
      <c r="DH126" s="226"/>
      <c r="DI126" s="226"/>
      <c r="DJ126" s="226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30"/>
      <c r="DV126" s="225"/>
      <c r="DW126" s="226"/>
      <c r="DX126" s="226"/>
      <c r="DY126" s="226"/>
      <c r="DZ126" s="226"/>
      <c r="EA126" s="226"/>
      <c r="EB126" s="226"/>
      <c r="EC126" s="226"/>
      <c r="ED126" s="227"/>
      <c r="EE126" s="228"/>
      <c r="EF126" s="226"/>
      <c r="EG126" s="226"/>
      <c r="EH126" s="226"/>
      <c r="EI126" s="226"/>
      <c r="EJ126" s="226"/>
      <c r="EK126" s="226"/>
      <c r="EL126" s="226"/>
      <c r="EM126" s="226"/>
      <c r="EN126" s="226"/>
      <c r="EO126" s="226"/>
      <c r="EP126" s="226"/>
      <c r="EQ126" s="226"/>
      <c r="ER126" s="226"/>
      <c r="ES126" s="226"/>
      <c r="ET126" s="226"/>
      <c r="EU126" s="226"/>
      <c r="EV126" s="226"/>
      <c r="EW126" s="226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226"/>
      <c r="FH126" s="226"/>
      <c r="FI126" s="227"/>
      <c r="FJ126" s="228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226"/>
      <c r="FU126" s="226"/>
      <c r="FV126" s="226"/>
      <c r="FW126" s="226"/>
      <c r="FX126" s="226"/>
      <c r="FY126" s="226"/>
      <c r="FZ126" s="226"/>
      <c r="GA126" s="226"/>
      <c r="GB126" s="226"/>
      <c r="GC126" s="226"/>
      <c r="GD126" s="226"/>
      <c r="GE126" s="226"/>
      <c r="GF126" s="226"/>
      <c r="GG126" s="226"/>
      <c r="GH126" s="226"/>
      <c r="GI126" s="226"/>
      <c r="GJ126" s="226"/>
      <c r="GK126" s="226"/>
      <c r="GL126" s="226"/>
      <c r="GM126" s="226"/>
      <c r="GN126" s="227"/>
      <c r="GO126" s="228"/>
      <c r="GP126" s="226"/>
      <c r="GQ126" s="226"/>
      <c r="GR126" s="226"/>
      <c r="GS126" s="226"/>
      <c r="GT126" s="226"/>
      <c r="GU126" s="226"/>
      <c r="GV126" s="226"/>
      <c r="GW126" s="226"/>
      <c r="GX126" s="226"/>
      <c r="GY126" s="226"/>
      <c r="GZ126" s="226"/>
      <c r="HA126" s="226"/>
      <c r="HB126" s="226"/>
      <c r="HC126" s="226"/>
      <c r="HD126" s="226"/>
      <c r="HE126" s="226"/>
      <c r="HF126" s="226"/>
      <c r="HG126" s="226"/>
      <c r="HH126" s="226"/>
      <c r="HI126" s="226"/>
      <c r="HJ126" s="226"/>
      <c r="HK126" s="226"/>
      <c r="HL126" s="226"/>
      <c r="HM126" s="226"/>
      <c r="HN126" s="226"/>
      <c r="HO126" s="230"/>
      <c r="HP126" s="225"/>
      <c r="HQ126" s="226"/>
      <c r="HR126" s="227"/>
      <c r="HS126" s="228"/>
      <c r="HT126" s="226"/>
      <c r="HU126" s="226"/>
      <c r="HV126" s="226"/>
      <c r="HW126" s="226"/>
      <c r="HX126" s="226"/>
      <c r="HY126" s="226"/>
      <c r="HZ126" s="226"/>
      <c r="IA126" s="226"/>
      <c r="IB126" s="226"/>
      <c r="IC126" s="226"/>
      <c r="ID126" s="226"/>
      <c r="IE126" s="226"/>
      <c r="IF126" s="226"/>
      <c r="IG126" s="226"/>
      <c r="IH126" s="226"/>
      <c r="II126" s="226"/>
      <c r="IJ126" s="226"/>
      <c r="IK126" s="226"/>
      <c r="IL126" s="226"/>
      <c r="IM126" s="226"/>
      <c r="IN126" s="226"/>
      <c r="IO126" s="226"/>
      <c r="IP126" s="226"/>
      <c r="IQ126" s="226"/>
      <c r="IR126" s="226"/>
      <c r="IS126" s="226"/>
      <c r="IT126" s="226"/>
      <c r="IU126" s="226"/>
      <c r="IV126" s="226"/>
      <c r="IW126" s="227"/>
      <c r="IX126" s="230"/>
      <c r="IY126" s="225"/>
      <c r="IZ126" s="226"/>
      <c r="JA126" s="226"/>
      <c r="JB126" s="226"/>
      <c r="JC126" s="226"/>
      <c r="JD126" s="226"/>
      <c r="JE126" s="226"/>
      <c r="JF126" s="226"/>
      <c r="JG126" s="226"/>
      <c r="JH126" s="226"/>
      <c r="JI126" s="226"/>
      <c r="JJ126" s="226"/>
      <c r="JK126" s="226"/>
      <c r="JL126" s="226"/>
      <c r="JM126" s="226"/>
      <c r="JN126" s="226"/>
      <c r="JO126" s="226"/>
      <c r="JP126" s="226"/>
      <c r="JQ126" s="226"/>
      <c r="JR126" s="226"/>
      <c r="JS126" s="226"/>
      <c r="JT126" s="226"/>
      <c r="JU126" s="226"/>
      <c r="JV126" s="226"/>
      <c r="JW126" s="226"/>
      <c r="JX126" s="226"/>
      <c r="JY126" s="226"/>
      <c r="JZ126" s="226"/>
      <c r="KA126" s="227"/>
      <c r="KB126" s="228"/>
      <c r="KC126" s="226"/>
      <c r="KD126" s="226"/>
      <c r="KE126" s="226"/>
      <c r="KF126" s="226"/>
      <c r="KG126" s="226"/>
    </row>
    <row r="127" customFormat="false" ht="22.5" hidden="false" customHeight="true" outlineLevel="1" collapsed="false">
      <c r="B127" s="75" t="s">
        <v>353</v>
      </c>
      <c r="C127" s="217" t="s">
        <v>354</v>
      </c>
      <c r="D127" s="127" t="s">
        <v>355</v>
      </c>
      <c r="E127" s="218" t="n">
        <v>2</v>
      </c>
      <c r="F127" s="219" t="n">
        <v>0</v>
      </c>
      <c r="G127" s="220" t="n">
        <f aca="false">E127-F127</f>
        <v>2</v>
      </c>
      <c r="H127" s="221" t="n">
        <v>5</v>
      </c>
      <c r="I127" s="222" t="s">
        <v>356</v>
      </c>
      <c r="J127" s="134" t="n">
        <v>46304</v>
      </c>
      <c r="K127" s="134" t="n">
        <v>46305</v>
      </c>
      <c r="L127" s="143" t="n">
        <f aca="false">K127-J127</f>
        <v>1</v>
      </c>
      <c r="M127" s="224" t="n">
        <f aca="false">IFERROR(F127/E127,"")</f>
        <v>0</v>
      </c>
      <c r="N127" s="225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226"/>
      <c r="AG127" s="226"/>
      <c r="AH127" s="226"/>
      <c r="AI127" s="226"/>
      <c r="AJ127" s="227"/>
      <c r="AK127" s="228"/>
      <c r="AL127" s="226"/>
      <c r="AM127" s="226"/>
      <c r="AN127" s="226"/>
      <c r="AO127" s="226"/>
      <c r="AP127" s="226"/>
      <c r="AQ127" s="226"/>
      <c r="AR127" s="226"/>
      <c r="AS127" s="226"/>
      <c r="AT127" s="226"/>
      <c r="AU127" s="226"/>
      <c r="AV127" s="226"/>
      <c r="AW127" s="226"/>
      <c r="AX127" s="226"/>
      <c r="AY127" s="226"/>
      <c r="AZ127" s="226"/>
      <c r="BA127" s="226"/>
      <c r="BB127" s="226"/>
      <c r="BC127" s="226"/>
      <c r="BD127" s="226"/>
      <c r="BE127" s="226"/>
      <c r="BF127" s="226"/>
      <c r="BG127" s="226"/>
      <c r="BH127" s="226"/>
      <c r="BI127" s="226"/>
      <c r="BJ127" s="226"/>
      <c r="BK127" s="226"/>
      <c r="BL127" s="226"/>
      <c r="BM127" s="226"/>
      <c r="BN127" s="227"/>
      <c r="BO127" s="228"/>
      <c r="BP127" s="226"/>
      <c r="BQ127" s="226"/>
      <c r="BR127" s="226"/>
      <c r="BS127" s="226"/>
      <c r="BT127" s="226"/>
      <c r="BU127" s="226"/>
      <c r="BV127" s="226"/>
      <c r="BW127" s="226"/>
      <c r="BX127" s="226"/>
      <c r="BY127" s="226"/>
      <c r="BZ127" s="226"/>
      <c r="CA127" s="226"/>
      <c r="CB127" s="226"/>
      <c r="CC127" s="226"/>
      <c r="CD127" s="226"/>
      <c r="CE127" s="226"/>
      <c r="CF127" s="226"/>
      <c r="CG127" s="226"/>
      <c r="CH127" s="226"/>
      <c r="CI127" s="226"/>
      <c r="CJ127" s="226"/>
      <c r="CK127" s="226"/>
      <c r="CL127" s="226"/>
      <c r="CM127" s="226"/>
      <c r="CN127" s="226"/>
      <c r="CO127" s="226"/>
      <c r="CP127" s="226"/>
      <c r="CQ127" s="226"/>
      <c r="CR127" s="226"/>
      <c r="CS127" s="229"/>
      <c r="CT127" s="228"/>
      <c r="CU127" s="226"/>
      <c r="CV127" s="226"/>
      <c r="CW127" s="226"/>
      <c r="CX127" s="226"/>
      <c r="CY127" s="226"/>
      <c r="CZ127" s="226"/>
      <c r="DA127" s="226"/>
      <c r="DB127" s="226"/>
      <c r="DC127" s="226"/>
      <c r="DD127" s="226"/>
      <c r="DE127" s="226"/>
      <c r="DF127" s="226"/>
      <c r="DG127" s="226"/>
      <c r="DH127" s="226"/>
      <c r="DI127" s="226"/>
      <c r="DJ127" s="226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30"/>
      <c r="DV127" s="225"/>
      <c r="DW127" s="226"/>
      <c r="DX127" s="226"/>
      <c r="DY127" s="226"/>
      <c r="DZ127" s="226"/>
      <c r="EA127" s="226"/>
      <c r="EB127" s="226"/>
      <c r="EC127" s="226"/>
      <c r="ED127" s="227"/>
      <c r="EE127" s="228"/>
      <c r="EF127" s="226"/>
      <c r="EG127" s="226"/>
      <c r="EH127" s="226"/>
      <c r="EI127" s="226"/>
      <c r="EJ127" s="226"/>
      <c r="EK127" s="226"/>
      <c r="EL127" s="226"/>
      <c r="EM127" s="226"/>
      <c r="EN127" s="226"/>
      <c r="EO127" s="226"/>
      <c r="EP127" s="226"/>
      <c r="EQ127" s="226"/>
      <c r="ER127" s="226"/>
      <c r="ES127" s="226"/>
      <c r="ET127" s="226"/>
      <c r="EU127" s="226"/>
      <c r="EV127" s="226"/>
      <c r="EW127" s="226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226"/>
      <c r="FH127" s="226"/>
      <c r="FI127" s="227"/>
      <c r="FJ127" s="228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226"/>
      <c r="FU127" s="226"/>
      <c r="FV127" s="226"/>
      <c r="FW127" s="226"/>
      <c r="FX127" s="226"/>
      <c r="FY127" s="226"/>
      <c r="FZ127" s="226"/>
      <c r="GA127" s="226"/>
      <c r="GB127" s="226"/>
      <c r="GC127" s="226"/>
      <c r="GD127" s="226"/>
      <c r="GE127" s="226"/>
      <c r="GF127" s="226"/>
      <c r="GG127" s="226"/>
      <c r="GH127" s="226"/>
      <c r="GI127" s="226"/>
      <c r="GJ127" s="226"/>
      <c r="GK127" s="226"/>
      <c r="GL127" s="226"/>
      <c r="GM127" s="226"/>
      <c r="GN127" s="227"/>
      <c r="GO127" s="228"/>
      <c r="GP127" s="226"/>
      <c r="GQ127" s="226"/>
      <c r="GR127" s="226"/>
      <c r="GS127" s="226"/>
      <c r="GT127" s="226"/>
      <c r="GU127" s="226"/>
      <c r="GV127" s="226"/>
      <c r="GW127" s="226"/>
      <c r="GX127" s="226"/>
      <c r="GY127" s="226"/>
      <c r="GZ127" s="226"/>
      <c r="HA127" s="226"/>
      <c r="HB127" s="226"/>
      <c r="HC127" s="226"/>
      <c r="HD127" s="226"/>
      <c r="HE127" s="226"/>
      <c r="HF127" s="226"/>
      <c r="HG127" s="226"/>
      <c r="HH127" s="226"/>
      <c r="HI127" s="226"/>
      <c r="HJ127" s="226"/>
      <c r="HK127" s="226"/>
      <c r="HL127" s="226"/>
      <c r="HM127" s="226"/>
      <c r="HN127" s="226"/>
      <c r="HO127" s="230"/>
      <c r="HP127" s="225"/>
      <c r="HQ127" s="226"/>
      <c r="HR127" s="227"/>
      <c r="HS127" s="228"/>
      <c r="HT127" s="226"/>
      <c r="HU127" s="226"/>
      <c r="HV127" s="226"/>
      <c r="HW127" s="226"/>
      <c r="HX127" s="226"/>
      <c r="HY127" s="226"/>
      <c r="HZ127" s="226"/>
      <c r="IA127" s="226"/>
      <c r="IB127" s="226"/>
      <c r="IC127" s="226"/>
      <c r="ID127" s="226"/>
      <c r="IE127" s="226"/>
      <c r="IF127" s="226"/>
      <c r="IG127" s="226"/>
      <c r="IH127" s="226"/>
      <c r="II127" s="226"/>
      <c r="IJ127" s="226"/>
      <c r="IK127" s="226"/>
      <c r="IL127" s="226"/>
      <c r="IM127" s="226"/>
      <c r="IN127" s="226"/>
      <c r="IO127" s="226"/>
      <c r="IP127" s="226"/>
      <c r="IQ127" s="226"/>
      <c r="IR127" s="226"/>
      <c r="IS127" s="226"/>
      <c r="IT127" s="226"/>
      <c r="IU127" s="226"/>
      <c r="IV127" s="226"/>
      <c r="IW127" s="227"/>
      <c r="IX127" s="230"/>
      <c r="IY127" s="225"/>
      <c r="IZ127" s="226"/>
      <c r="JA127" s="226"/>
      <c r="JB127" s="226"/>
      <c r="JC127" s="226"/>
      <c r="JD127" s="226"/>
      <c r="JE127" s="226"/>
      <c r="JF127" s="226"/>
      <c r="JG127" s="226"/>
      <c r="JH127" s="226"/>
      <c r="JI127" s="226"/>
      <c r="JJ127" s="226"/>
      <c r="JK127" s="226"/>
      <c r="JL127" s="226"/>
      <c r="JM127" s="226"/>
      <c r="JN127" s="226"/>
      <c r="JO127" s="226"/>
      <c r="JP127" s="226"/>
      <c r="JQ127" s="226"/>
      <c r="JR127" s="226"/>
      <c r="JS127" s="226"/>
      <c r="JT127" s="226"/>
      <c r="JU127" s="226"/>
      <c r="JV127" s="226"/>
      <c r="JW127" s="226"/>
      <c r="JX127" s="226"/>
      <c r="JY127" s="226"/>
      <c r="JZ127" s="226"/>
      <c r="KA127" s="227"/>
      <c r="KB127" s="228"/>
      <c r="KC127" s="226"/>
      <c r="KD127" s="226"/>
      <c r="KE127" s="226"/>
      <c r="KF127" s="226"/>
      <c r="KG127" s="226"/>
    </row>
    <row r="128" customFormat="false" ht="22.5" hidden="false" customHeight="true" outlineLevel="1" collapsed="false">
      <c r="B128" s="75" t="s">
        <v>357</v>
      </c>
      <c r="C128" s="217" t="s">
        <v>358</v>
      </c>
      <c r="D128" s="127" t="s">
        <v>359</v>
      </c>
      <c r="E128" s="218" t="n">
        <v>2</v>
      </c>
      <c r="F128" s="219" t="n">
        <v>0</v>
      </c>
      <c r="G128" s="220" t="n">
        <f aca="false">E128-F128</f>
        <v>2</v>
      </c>
      <c r="H128" s="221" t="n">
        <v>5</v>
      </c>
      <c r="I128" s="222" t="n">
        <v>5.22</v>
      </c>
      <c r="J128" s="134" t="n">
        <v>46307</v>
      </c>
      <c r="K128" s="134" t="n">
        <v>46308</v>
      </c>
      <c r="L128" s="143" t="n">
        <f aca="false">K128-J128</f>
        <v>1</v>
      </c>
      <c r="M128" s="224" t="n">
        <f aca="false">IFERROR(F128/E128,"")</f>
        <v>0</v>
      </c>
      <c r="N128" s="225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  <c r="AA128" s="226"/>
      <c r="AB128" s="226"/>
      <c r="AC128" s="226"/>
      <c r="AD128" s="226"/>
      <c r="AE128" s="226"/>
      <c r="AF128" s="226"/>
      <c r="AG128" s="226"/>
      <c r="AH128" s="226"/>
      <c r="AI128" s="226"/>
      <c r="AJ128" s="227"/>
      <c r="AK128" s="228"/>
      <c r="AL128" s="226"/>
      <c r="AM128" s="226"/>
      <c r="AN128" s="226"/>
      <c r="AO128" s="226"/>
      <c r="AP128" s="226"/>
      <c r="AQ128" s="226"/>
      <c r="AR128" s="226"/>
      <c r="AS128" s="226"/>
      <c r="AT128" s="226"/>
      <c r="AU128" s="226"/>
      <c r="AV128" s="226"/>
      <c r="AW128" s="226"/>
      <c r="AX128" s="226"/>
      <c r="AY128" s="226"/>
      <c r="AZ128" s="226"/>
      <c r="BA128" s="226"/>
      <c r="BB128" s="226"/>
      <c r="BC128" s="226"/>
      <c r="BD128" s="226"/>
      <c r="BE128" s="226"/>
      <c r="BF128" s="226"/>
      <c r="BG128" s="226"/>
      <c r="BH128" s="226"/>
      <c r="BI128" s="226"/>
      <c r="BJ128" s="226"/>
      <c r="BK128" s="226"/>
      <c r="BL128" s="226"/>
      <c r="BM128" s="226"/>
      <c r="BN128" s="227"/>
      <c r="BO128" s="228"/>
      <c r="BP128" s="226"/>
      <c r="BQ128" s="226"/>
      <c r="BR128" s="226"/>
      <c r="BS128" s="226"/>
      <c r="BT128" s="226"/>
      <c r="BU128" s="226"/>
      <c r="BV128" s="226"/>
      <c r="BW128" s="226"/>
      <c r="BX128" s="226"/>
      <c r="BY128" s="226"/>
      <c r="BZ128" s="226"/>
      <c r="CA128" s="226"/>
      <c r="CB128" s="226"/>
      <c r="CC128" s="226"/>
      <c r="CD128" s="226"/>
      <c r="CE128" s="226"/>
      <c r="CF128" s="226"/>
      <c r="CG128" s="226"/>
      <c r="CH128" s="226"/>
      <c r="CI128" s="226"/>
      <c r="CJ128" s="226"/>
      <c r="CK128" s="226"/>
      <c r="CL128" s="226"/>
      <c r="CM128" s="226"/>
      <c r="CN128" s="226"/>
      <c r="CO128" s="226"/>
      <c r="CP128" s="226"/>
      <c r="CQ128" s="226"/>
      <c r="CR128" s="226"/>
      <c r="CS128" s="229"/>
      <c r="CT128" s="228"/>
      <c r="CU128" s="226"/>
      <c r="CV128" s="226"/>
      <c r="CW128" s="226"/>
      <c r="CX128" s="226"/>
      <c r="CY128" s="226"/>
      <c r="CZ128" s="226"/>
      <c r="DA128" s="226"/>
      <c r="DB128" s="226"/>
      <c r="DC128" s="226"/>
      <c r="DD128" s="226"/>
      <c r="DE128" s="226"/>
      <c r="DF128" s="226"/>
      <c r="DG128" s="226"/>
      <c r="DH128" s="226"/>
      <c r="DI128" s="226"/>
      <c r="DJ128" s="226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30"/>
      <c r="DV128" s="225"/>
      <c r="DW128" s="226"/>
      <c r="DX128" s="226"/>
      <c r="DY128" s="226"/>
      <c r="DZ128" s="226"/>
      <c r="EA128" s="226"/>
      <c r="EB128" s="226"/>
      <c r="EC128" s="226"/>
      <c r="ED128" s="227"/>
      <c r="EE128" s="228"/>
      <c r="EF128" s="226"/>
      <c r="EG128" s="226"/>
      <c r="EH128" s="226"/>
      <c r="EI128" s="226"/>
      <c r="EJ128" s="226"/>
      <c r="EK128" s="226"/>
      <c r="EL128" s="226"/>
      <c r="EM128" s="226"/>
      <c r="EN128" s="226"/>
      <c r="EO128" s="226"/>
      <c r="EP128" s="226"/>
      <c r="EQ128" s="226"/>
      <c r="ER128" s="226"/>
      <c r="ES128" s="226"/>
      <c r="ET128" s="226"/>
      <c r="EU128" s="226"/>
      <c r="EV128" s="226"/>
      <c r="EW128" s="226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226"/>
      <c r="FH128" s="226"/>
      <c r="FI128" s="227"/>
      <c r="FJ128" s="228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226"/>
      <c r="FU128" s="226"/>
      <c r="FV128" s="226"/>
      <c r="FW128" s="226"/>
      <c r="FX128" s="226"/>
      <c r="FY128" s="226"/>
      <c r="FZ128" s="226"/>
      <c r="GA128" s="226"/>
      <c r="GB128" s="226"/>
      <c r="GC128" s="226"/>
      <c r="GD128" s="226"/>
      <c r="GE128" s="226"/>
      <c r="GF128" s="226"/>
      <c r="GG128" s="226"/>
      <c r="GH128" s="226"/>
      <c r="GI128" s="226"/>
      <c r="GJ128" s="226"/>
      <c r="GK128" s="226"/>
      <c r="GL128" s="226"/>
      <c r="GM128" s="226"/>
      <c r="GN128" s="227"/>
      <c r="GO128" s="228"/>
      <c r="GP128" s="226"/>
      <c r="GQ128" s="226"/>
      <c r="GR128" s="226"/>
      <c r="GS128" s="226"/>
      <c r="GT128" s="226"/>
      <c r="GU128" s="226"/>
      <c r="GV128" s="226"/>
      <c r="GW128" s="226"/>
      <c r="GX128" s="226"/>
      <c r="GY128" s="226"/>
      <c r="GZ128" s="226"/>
      <c r="HA128" s="226"/>
      <c r="HB128" s="226"/>
      <c r="HC128" s="226"/>
      <c r="HD128" s="226"/>
      <c r="HE128" s="226"/>
      <c r="HF128" s="226"/>
      <c r="HG128" s="226"/>
      <c r="HH128" s="226"/>
      <c r="HI128" s="226"/>
      <c r="HJ128" s="226"/>
      <c r="HK128" s="226"/>
      <c r="HL128" s="226"/>
      <c r="HM128" s="226"/>
      <c r="HN128" s="226"/>
      <c r="HO128" s="230"/>
      <c r="HP128" s="225"/>
      <c r="HQ128" s="226"/>
      <c r="HR128" s="227"/>
      <c r="HS128" s="228"/>
      <c r="HT128" s="226"/>
      <c r="HU128" s="226"/>
      <c r="HV128" s="226"/>
      <c r="HW128" s="226"/>
      <c r="HX128" s="226"/>
      <c r="HY128" s="226"/>
      <c r="HZ128" s="226"/>
      <c r="IA128" s="226"/>
      <c r="IB128" s="226"/>
      <c r="IC128" s="226"/>
      <c r="ID128" s="226"/>
      <c r="IE128" s="226"/>
      <c r="IF128" s="226"/>
      <c r="IG128" s="226"/>
      <c r="IH128" s="226"/>
      <c r="II128" s="226"/>
      <c r="IJ128" s="226"/>
      <c r="IK128" s="226"/>
      <c r="IL128" s="226"/>
      <c r="IM128" s="226"/>
      <c r="IN128" s="226"/>
      <c r="IO128" s="226"/>
      <c r="IP128" s="226"/>
      <c r="IQ128" s="226"/>
      <c r="IR128" s="226"/>
      <c r="IS128" s="226"/>
      <c r="IT128" s="226"/>
      <c r="IU128" s="226"/>
      <c r="IV128" s="226"/>
      <c r="IW128" s="227"/>
      <c r="IX128" s="230"/>
      <c r="IY128" s="225"/>
      <c r="IZ128" s="226"/>
      <c r="JA128" s="226"/>
      <c r="JB128" s="226"/>
      <c r="JC128" s="226"/>
      <c r="JD128" s="226"/>
      <c r="JE128" s="226"/>
      <c r="JF128" s="226"/>
      <c r="JG128" s="226"/>
      <c r="JH128" s="226"/>
      <c r="JI128" s="226"/>
      <c r="JJ128" s="226"/>
      <c r="JK128" s="226"/>
      <c r="JL128" s="226"/>
      <c r="JM128" s="226"/>
      <c r="JN128" s="226"/>
      <c r="JO128" s="226"/>
      <c r="JP128" s="226"/>
      <c r="JQ128" s="226"/>
      <c r="JR128" s="226"/>
      <c r="JS128" s="226"/>
      <c r="JT128" s="226"/>
      <c r="JU128" s="226"/>
      <c r="JV128" s="226"/>
      <c r="JW128" s="226"/>
      <c r="JX128" s="226"/>
      <c r="JY128" s="226"/>
      <c r="JZ128" s="226"/>
      <c r="KA128" s="227"/>
      <c r="KB128" s="228"/>
      <c r="KC128" s="226"/>
      <c r="KD128" s="226"/>
      <c r="KE128" s="226"/>
      <c r="KF128" s="226"/>
      <c r="KG128" s="226"/>
    </row>
    <row r="129" customFormat="false" ht="22.5" hidden="false" customHeight="true" outlineLevel="1" collapsed="false">
      <c r="B129" s="186" t="s">
        <v>360</v>
      </c>
      <c r="C129" s="217" t="s">
        <v>361</v>
      </c>
      <c r="D129" s="232" t="s">
        <v>362</v>
      </c>
      <c r="E129" s="218" t="n">
        <v>3</v>
      </c>
      <c r="F129" s="219" t="n">
        <v>0</v>
      </c>
      <c r="G129" s="220" t="n">
        <f aca="false">E129-F129</f>
        <v>3</v>
      </c>
      <c r="H129" s="221" t="n">
        <v>5</v>
      </c>
      <c r="I129" s="222" t="n">
        <v>4.26</v>
      </c>
      <c r="J129" s="134" t="n">
        <v>46278</v>
      </c>
      <c r="K129" s="134" t="n">
        <v>46308</v>
      </c>
      <c r="L129" s="143" t="n">
        <f aca="false">K129-J129</f>
        <v>30</v>
      </c>
      <c r="M129" s="224" t="n">
        <f aca="false">IFERROR(F129/E129,"")</f>
        <v>0</v>
      </c>
      <c r="N129" s="225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  <c r="AI129" s="226"/>
      <c r="AJ129" s="227"/>
      <c r="AK129" s="228"/>
      <c r="AL129" s="226"/>
      <c r="AM129" s="226"/>
      <c r="AN129" s="226"/>
      <c r="AO129" s="226"/>
      <c r="AP129" s="226"/>
      <c r="AQ129" s="226"/>
      <c r="AR129" s="226"/>
      <c r="AS129" s="226"/>
      <c r="AT129" s="226"/>
      <c r="AU129" s="226"/>
      <c r="AV129" s="226"/>
      <c r="AW129" s="226"/>
      <c r="AX129" s="226"/>
      <c r="AY129" s="226"/>
      <c r="AZ129" s="226"/>
      <c r="BA129" s="226"/>
      <c r="BB129" s="226"/>
      <c r="BC129" s="226"/>
      <c r="BD129" s="226"/>
      <c r="BE129" s="226"/>
      <c r="BF129" s="226"/>
      <c r="BG129" s="226"/>
      <c r="BH129" s="226"/>
      <c r="BI129" s="226"/>
      <c r="BJ129" s="226"/>
      <c r="BK129" s="226"/>
      <c r="BL129" s="226"/>
      <c r="BM129" s="226"/>
      <c r="BN129" s="227"/>
      <c r="BO129" s="228"/>
      <c r="BP129" s="226"/>
      <c r="BQ129" s="226"/>
      <c r="BR129" s="226"/>
      <c r="BS129" s="226"/>
      <c r="BT129" s="226"/>
      <c r="BU129" s="226"/>
      <c r="BV129" s="226"/>
      <c r="BW129" s="226"/>
      <c r="BX129" s="226"/>
      <c r="BY129" s="226"/>
      <c r="BZ129" s="226"/>
      <c r="CA129" s="226"/>
      <c r="CB129" s="226"/>
      <c r="CC129" s="226"/>
      <c r="CD129" s="226"/>
      <c r="CE129" s="226"/>
      <c r="CF129" s="226"/>
      <c r="CG129" s="226"/>
      <c r="CH129" s="226"/>
      <c r="CI129" s="226"/>
      <c r="CJ129" s="226"/>
      <c r="CK129" s="226"/>
      <c r="CL129" s="226"/>
      <c r="CM129" s="226"/>
      <c r="CN129" s="226"/>
      <c r="CO129" s="226"/>
      <c r="CP129" s="226"/>
      <c r="CQ129" s="226"/>
      <c r="CR129" s="226"/>
      <c r="CS129" s="229"/>
      <c r="CT129" s="228"/>
      <c r="CU129" s="226"/>
      <c r="CV129" s="226"/>
      <c r="CW129" s="226"/>
      <c r="CX129" s="226"/>
      <c r="CY129" s="226"/>
      <c r="CZ129" s="226"/>
      <c r="DA129" s="226"/>
      <c r="DB129" s="226"/>
      <c r="DC129" s="226"/>
      <c r="DD129" s="226"/>
      <c r="DE129" s="226"/>
      <c r="DF129" s="226"/>
      <c r="DG129" s="226"/>
      <c r="DH129" s="226"/>
      <c r="DI129" s="226"/>
      <c r="DJ129" s="226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30"/>
      <c r="DV129" s="225"/>
      <c r="DW129" s="226"/>
      <c r="DX129" s="226"/>
      <c r="DY129" s="226"/>
      <c r="DZ129" s="226"/>
      <c r="EA129" s="226"/>
      <c r="EB129" s="226"/>
      <c r="EC129" s="226"/>
      <c r="ED129" s="227"/>
      <c r="EE129" s="228"/>
      <c r="EF129" s="226"/>
      <c r="EG129" s="226"/>
      <c r="EH129" s="226"/>
      <c r="EI129" s="226"/>
      <c r="EJ129" s="226"/>
      <c r="EK129" s="226"/>
      <c r="EL129" s="226"/>
      <c r="EM129" s="226"/>
      <c r="EN129" s="226"/>
      <c r="EO129" s="226"/>
      <c r="EP129" s="226"/>
      <c r="EQ129" s="226"/>
      <c r="ER129" s="226"/>
      <c r="ES129" s="226"/>
      <c r="ET129" s="226"/>
      <c r="EU129" s="226"/>
      <c r="EV129" s="226"/>
      <c r="EW129" s="226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226"/>
      <c r="FH129" s="226"/>
      <c r="FI129" s="227"/>
      <c r="FJ129" s="228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226"/>
      <c r="FU129" s="226"/>
      <c r="FV129" s="226"/>
      <c r="FW129" s="226"/>
      <c r="FX129" s="226"/>
      <c r="FY129" s="226"/>
      <c r="FZ129" s="226"/>
      <c r="GA129" s="226"/>
      <c r="GB129" s="226"/>
      <c r="GC129" s="226"/>
      <c r="GD129" s="226"/>
      <c r="GE129" s="226"/>
      <c r="GF129" s="226"/>
      <c r="GG129" s="226"/>
      <c r="GH129" s="226"/>
      <c r="GI129" s="226"/>
      <c r="GJ129" s="226"/>
      <c r="GK129" s="226"/>
      <c r="GL129" s="226"/>
      <c r="GM129" s="226"/>
      <c r="GN129" s="227"/>
      <c r="GO129" s="228"/>
      <c r="GP129" s="226"/>
      <c r="GQ129" s="226"/>
      <c r="GR129" s="226"/>
      <c r="GS129" s="226"/>
      <c r="GT129" s="226"/>
      <c r="GU129" s="226"/>
      <c r="GV129" s="226"/>
      <c r="GW129" s="226"/>
      <c r="GX129" s="226"/>
      <c r="GY129" s="226"/>
      <c r="GZ129" s="226"/>
      <c r="HA129" s="226"/>
      <c r="HB129" s="226"/>
      <c r="HC129" s="226"/>
      <c r="HD129" s="226"/>
      <c r="HE129" s="226"/>
      <c r="HF129" s="226"/>
      <c r="HG129" s="226"/>
      <c r="HH129" s="226"/>
      <c r="HI129" s="226"/>
      <c r="HJ129" s="226"/>
      <c r="HK129" s="226"/>
      <c r="HL129" s="226"/>
      <c r="HM129" s="226"/>
      <c r="HN129" s="226"/>
      <c r="HO129" s="230"/>
      <c r="HP129" s="225"/>
      <c r="HQ129" s="226"/>
      <c r="HR129" s="227"/>
      <c r="HS129" s="228"/>
      <c r="HT129" s="226"/>
      <c r="HU129" s="226"/>
      <c r="HV129" s="226"/>
      <c r="HW129" s="226"/>
      <c r="HX129" s="226"/>
      <c r="HY129" s="226"/>
      <c r="HZ129" s="226"/>
      <c r="IA129" s="226"/>
      <c r="IB129" s="226"/>
      <c r="IC129" s="226"/>
      <c r="ID129" s="226"/>
      <c r="IE129" s="226"/>
      <c r="IF129" s="226"/>
      <c r="IG129" s="226"/>
      <c r="IH129" s="226"/>
      <c r="II129" s="226"/>
      <c r="IJ129" s="226"/>
      <c r="IK129" s="226"/>
      <c r="IL129" s="226"/>
      <c r="IM129" s="226"/>
      <c r="IN129" s="226"/>
      <c r="IO129" s="226"/>
      <c r="IP129" s="226"/>
      <c r="IQ129" s="226"/>
      <c r="IR129" s="226"/>
      <c r="IS129" s="226"/>
      <c r="IT129" s="226"/>
      <c r="IU129" s="226"/>
      <c r="IV129" s="226"/>
      <c r="IW129" s="227"/>
      <c r="IX129" s="230"/>
      <c r="IY129" s="225"/>
      <c r="IZ129" s="226"/>
      <c r="JA129" s="226"/>
      <c r="JB129" s="226"/>
      <c r="JC129" s="226"/>
      <c r="JD129" s="226"/>
      <c r="JE129" s="226"/>
      <c r="JF129" s="226"/>
      <c r="JG129" s="226"/>
      <c r="JH129" s="226"/>
      <c r="JI129" s="226"/>
      <c r="JJ129" s="226"/>
      <c r="JK129" s="226"/>
      <c r="JL129" s="226"/>
      <c r="JM129" s="226"/>
      <c r="JN129" s="226"/>
      <c r="JO129" s="226"/>
      <c r="JP129" s="226"/>
      <c r="JQ129" s="226"/>
      <c r="JR129" s="226"/>
      <c r="JS129" s="226"/>
      <c r="JT129" s="226"/>
      <c r="JU129" s="226"/>
      <c r="JV129" s="226"/>
      <c r="JW129" s="226"/>
      <c r="JX129" s="226"/>
      <c r="JY129" s="226"/>
      <c r="JZ129" s="226"/>
      <c r="KA129" s="227"/>
      <c r="KB129" s="228"/>
      <c r="KC129" s="226"/>
      <c r="KD129" s="226"/>
      <c r="KE129" s="226"/>
      <c r="KF129" s="226"/>
      <c r="KG129" s="226"/>
    </row>
    <row r="130" customFormat="false" ht="22.5" hidden="false" customHeight="true" outlineLevel="1" collapsed="false">
      <c r="B130" s="106" t="s">
        <v>363</v>
      </c>
      <c r="C130" s="233" t="s">
        <v>364</v>
      </c>
      <c r="D130" s="150" t="s">
        <v>365</v>
      </c>
      <c r="E130" s="151" t="n">
        <v>3</v>
      </c>
      <c r="F130" s="152" t="n">
        <v>0</v>
      </c>
      <c r="G130" s="153" t="n">
        <f aca="false">E130-F130</f>
        <v>3</v>
      </c>
      <c r="H130" s="154" t="n">
        <v>5</v>
      </c>
      <c r="I130" s="234" t="s">
        <v>366</v>
      </c>
      <c r="J130" s="134" t="n">
        <v>46309</v>
      </c>
      <c r="K130" s="134" t="n">
        <v>46310</v>
      </c>
      <c r="L130" s="156" t="n">
        <f aca="false">K130-J130</f>
        <v>1</v>
      </c>
      <c r="M130" s="157" t="n">
        <f aca="false">IFERROR(F130/E130,"")</f>
        <v>0</v>
      </c>
      <c r="N130" s="235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7"/>
      <c r="AK130" s="238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236"/>
      <c r="BG130" s="236"/>
      <c r="BH130" s="236"/>
      <c r="BI130" s="236"/>
      <c r="BJ130" s="236"/>
      <c r="BK130" s="236"/>
      <c r="BL130" s="236"/>
      <c r="BM130" s="236"/>
      <c r="BN130" s="237"/>
      <c r="BO130" s="238"/>
      <c r="BP130" s="236"/>
      <c r="BQ130" s="236"/>
      <c r="BR130" s="236"/>
      <c r="BS130" s="236"/>
      <c r="BT130" s="236"/>
      <c r="BU130" s="236"/>
      <c r="BV130" s="236"/>
      <c r="BW130" s="236"/>
      <c r="BX130" s="236"/>
      <c r="BY130" s="236"/>
      <c r="BZ130" s="236"/>
      <c r="CA130" s="236"/>
      <c r="CB130" s="236"/>
      <c r="CC130" s="236"/>
      <c r="CD130" s="236"/>
      <c r="CE130" s="236"/>
      <c r="CF130" s="236"/>
      <c r="CG130" s="236"/>
      <c r="CH130" s="236"/>
      <c r="CI130" s="236"/>
      <c r="CJ130" s="236"/>
      <c r="CK130" s="236"/>
      <c r="CL130" s="236"/>
      <c r="CM130" s="236"/>
      <c r="CN130" s="236"/>
      <c r="CO130" s="236"/>
      <c r="CP130" s="236"/>
      <c r="CQ130" s="236"/>
      <c r="CR130" s="236"/>
      <c r="CS130" s="239"/>
      <c r="CT130" s="238"/>
      <c r="CU130" s="236"/>
      <c r="CV130" s="236"/>
      <c r="CW130" s="236"/>
      <c r="CX130" s="236"/>
      <c r="CY130" s="236"/>
      <c r="CZ130" s="236"/>
      <c r="DA130" s="236"/>
      <c r="DB130" s="236"/>
      <c r="DC130" s="236"/>
      <c r="DD130" s="236"/>
      <c r="DE130" s="236"/>
      <c r="DF130" s="236"/>
      <c r="DG130" s="236"/>
      <c r="DH130" s="236"/>
      <c r="DI130" s="236"/>
      <c r="DJ130" s="236"/>
      <c r="DK130" s="236"/>
      <c r="DL130" s="236"/>
      <c r="DM130" s="236"/>
      <c r="DN130" s="236"/>
      <c r="DO130" s="236"/>
      <c r="DP130" s="236"/>
      <c r="DQ130" s="236"/>
      <c r="DR130" s="236"/>
      <c r="DS130" s="236"/>
      <c r="DT130" s="236"/>
      <c r="DU130" s="240"/>
      <c r="DV130" s="235"/>
      <c r="DW130" s="236"/>
      <c r="DX130" s="236"/>
      <c r="DY130" s="236"/>
      <c r="DZ130" s="236"/>
      <c r="EA130" s="236"/>
      <c r="EB130" s="236"/>
      <c r="EC130" s="236"/>
      <c r="ED130" s="237"/>
      <c r="EE130" s="238"/>
      <c r="EF130" s="236"/>
      <c r="EG130" s="236"/>
      <c r="EH130" s="236"/>
      <c r="EI130" s="236"/>
      <c r="EJ130" s="236"/>
      <c r="EK130" s="236"/>
      <c r="EL130" s="236"/>
      <c r="EM130" s="236"/>
      <c r="EN130" s="236"/>
      <c r="EO130" s="236"/>
      <c r="EP130" s="236"/>
      <c r="EQ130" s="236"/>
      <c r="ER130" s="236"/>
      <c r="ES130" s="236"/>
      <c r="ET130" s="236"/>
      <c r="EU130" s="236"/>
      <c r="EV130" s="236"/>
      <c r="EW130" s="236"/>
      <c r="EX130" s="236"/>
      <c r="EY130" s="236"/>
      <c r="EZ130" s="236"/>
      <c r="FA130" s="236"/>
      <c r="FB130" s="236"/>
      <c r="FC130" s="236"/>
      <c r="FD130" s="236"/>
      <c r="FE130" s="236"/>
      <c r="FF130" s="236"/>
      <c r="FG130" s="236"/>
      <c r="FH130" s="236"/>
      <c r="FI130" s="237"/>
      <c r="FJ130" s="238"/>
      <c r="FK130" s="236"/>
      <c r="FL130" s="236"/>
      <c r="FM130" s="236"/>
      <c r="FN130" s="236"/>
      <c r="FO130" s="236"/>
      <c r="FP130" s="236"/>
      <c r="FQ130" s="236"/>
      <c r="FR130" s="236"/>
      <c r="FS130" s="236"/>
      <c r="FT130" s="236"/>
      <c r="FU130" s="236"/>
      <c r="FV130" s="236"/>
      <c r="FW130" s="236"/>
      <c r="FX130" s="236"/>
      <c r="FY130" s="236"/>
      <c r="FZ130" s="236"/>
      <c r="GA130" s="236"/>
      <c r="GB130" s="236"/>
      <c r="GC130" s="236"/>
      <c r="GD130" s="236"/>
      <c r="GE130" s="236"/>
      <c r="GF130" s="236"/>
      <c r="GG130" s="236"/>
      <c r="GH130" s="236"/>
      <c r="GI130" s="236"/>
      <c r="GJ130" s="236"/>
      <c r="GK130" s="236"/>
      <c r="GL130" s="236"/>
      <c r="GM130" s="236"/>
      <c r="GN130" s="237"/>
      <c r="GO130" s="238"/>
      <c r="GP130" s="236"/>
      <c r="GQ130" s="236"/>
      <c r="GR130" s="236"/>
      <c r="GS130" s="236"/>
      <c r="GT130" s="236"/>
      <c r="GU130" s="236"/>
      <c r="GV130" s="236"/>
      <c r="GW130" s="236"/>
      <c r="GX130" s="236"/>
      <c r="GY130" s="236"/>
      <c r="GZ130" s="236"/>
      <c r="HA130" s="236"/>
      <c r="HB130" s="236"/>
      <c r="HC130" s="236"/>
      <c r="HD130" s="236"/>
      <c r="HE130" s="236"/>
      <c r="HF130" s="236"/>
      <c r="HG130" s="236"/>
      <c r="HH130" s="236"/>
      <c r="HI130" s="236"/>
      <c r="HJ130" s="236"/>
      <c r="HK130" s="236"/>
      <c r="HL130" s="236"/>
      <c r="HM130" s="236"/>
      <c r="HN130" s="236"/>
      <c r="HO130" s="240"/>
      <c r="HP130" s="235"/>
      <c r="HQ130" s="236"/>
      <c r="HR130" s="237"/>
      <c r="HS130" s="238"/>
      <c r="HT130" s="236"/>
      <c r="HU130" s="236"/>
      <c r="HV130" s="236"/>
      <c r="HW130" s="236"/>
      <c r="HX130" s="236"/>
      <c r="HY130" s="236"/>
      <c r="HZ130" s="236"/>
      <c r="IA130" s="236"/>
      <c r="IB130" s="236"/>
      <c r="IC130" s="236"/>
      <c r="ID130" s="236"/>
      <c r="IE130" s="236"/>
      <c r="IF130" s="236"/>
      <c r="IG130" s="236"/>
      <c r="IH130" s="236"/>
      <c r="II130" s="236"/>
      <c r="IJ130" s="236"/>
      <c r="IK130" s="236"/>
      <c r="IL130" s="236"/>
      <c r="IM130" s="236"/>
      <c r="IN130" s="236"/>
      <c r="IO130" s="236"/>
      <c r="IP130" s="236"/>
      <c r="IQ130" s="236"/>
      <c r="IR130" s="236"/>
      <c r="IS130" s="236"/>
      <c r="IT130" s="236"/>
      <c r="IU130" s="236"/>
      <c r="IV130" s="236"/>
      <c r="IW130" s="237"/>
      <c r="IX130" s="240"/>
      <c r="IY130" s="235"/>
      <c r="IZ130" s="236"/>
      <c r="JA130" s="236"/>
      <c r="JB130" s="236"/>
      <c r="JC130" s="236"/>
      <c r="JD130" s="236"/>
      <c r="JE130" s="236"/>
      <c r="JF130" s="236"/>
      <c r="JG130" s="236"/>
      <c r="JH130" s="236"/>
      <c r="JI130" s="236"/>
      <c r="JJ130" s="236"/>
      <c r="JK130" s="236"/>
      <c r="JL130" s="236"/>
      <c r="JM130" s="236"/>
      <c r="JN130" s="236"/>
      <c r="JO130" s="236"/>
      <c r="JP130" s="236"/>
      <c r="JQ130" s="236"/>
      <c r="JR130" s="236"/>
      <c r="JS130" s="236"/>
      <c r="JT130" s="236"/>
      <c r="JU130" s="236"/>
      <c r="JV130" s="236"/>
      <c r="JW130" s="236"/>
      <c r="JX130" s="236"/>
      <c r="JY130" s="236"/>
      <c r="JZ130" s="236"/>
      <c r="KA130" s="237"/>
      <c r="KB130" s="238"/>
      <c r="KC130" s="236"/>
      <c r="KD130" s="236"/>
      <c r="KE130" s="236"/>
      <c r="KF130" s="236"/>
      <c r="KG130" s="236"/>
    </row>
    <row r="131" customFormat="false" ht="22.5" hidden="false" customHeight="true" outlineLevel="0" collapsed="false">
      <c r="B131" s="113" t="s">
        <v>367</v>
      </c>
      <c r="C131" s="145" t="s">
        <v>368</v>
      </c>
      <c r="D131" s="58"/>
      <c r="E131" s="115"/>
      <c r="F131" s="116"/>
      <c r="G131" s="117"/>
      <c r="H131" s="146"/>
      <c r="I131" s="241"/>
      <c r="J131" s="120"/>
      <c r="K131" s="121"/>
      <c r="L131" s="66"/>
      <c r="M131" s="215" t="n">
        <f aca="false">IFERROR($F$189/$E$189,"")</f>
        <v>0.480769230769231</v>
      </c>
      <c r="N131" s="68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3"/>
      <c r="AK131" s="73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3"/>
      <c r="BO131" s="73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4"/>
      <c r="CT131" s="73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5"/>
      <c r="DV131" s="68"/>
      <c r="DW131" s="122"/>
      <c r="DX131" s="122"/>
      <c r="DY131" s="122"/>
      <c r="DZ131" s="122"/>
      <c r="EA131" s="122"/>
      <c r="EB131" s="122"/>
      <c r="EC131" s="122"/>
      <c r="ED131" s="123"/>
      <c r="EE131" s="73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3"/>
      <c r="FJ131" s="73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  <c r="GJ131" s="122"/>
      <c r="GK131" s="122"/>
      <c r="GL131" s="122"/>
      <c r="GM131" s="122"/>
      <c r="GN131" s="123"/>
      <c r="GO131" s="73"/>
      <c r="GP131" s="122"/>
      <c r="GQ131" s="122"/>
      <c r="GR131" s="122"/>
      <c r="GS131" s="122"/>
      <c r="GT131" s="122"/>
      <c r="GU131" s="122"/>
      <c r="GV131" s="122"/>
      <c r="GW131" s="122"/>
      <c r="GX131" s="122"/>
      <c r="GY131" s="122"/>
      <c r="GZ131" s="122"/>
      <c r="HA131" s="122"/>
      <c r="HB131" s="122"/>
      <c r="HC131" s="122"/>
      <c r="HD131" s="122"/>
      <c r="HE131" s="122"/>
      <c r="HF131" s="122"/>
      <c r="HG131" s="122"/>
      <c r="HH131" s="122"/>
      <c r="HI131" s="122"/>
      <c r="HJ131" s="122"/>
      <c r="HK131" s="122"/>
      <c r="HL131" s="122"/>
      <c r="HM131" s="122"/>
      <c r="HN131" s="122"/>
      <c r="HO131" s="125"/>
      <c r="HP131" s="68"/>
      <c r="HQ131" s="122"/>
      <c r="HR131" s="123"/>
      <c r="HS131" s="73"/>
      <c r="HT131" s="122"/>
      <c r="HU131" s="122"/>
      <c r="HV131" s="122"/>
      <c r="HW131" s="122"/>
      <c r="HX131" s="122"/>
      <c r="HY131" s="122"/>
      <c r="HZ131" s="122"/>
      <c r="IA131" s="122"/>
      <c r="IB131" s="122"/>
      <c r="IC131" s="122"/>
      <c r="ID131" s="122"/>
      <c r="IE131" s="122"/>
      <c r="IF131" s="122"/>
      <c r="IG131" s="122"/>
      <c r="IH131" s="122"/>
      <c r="II131" s="122"/>
      <c r="IJ131" s="122"/>
      <c r="IK131" s="122"/>
      <c r="IL131" s="122"/>
      <c r="IM131" s="122"/>
      <c r="IN131" s="122"/>
      <c r="IO131" s="122"/>
      <c r="IP131" s="122"/>
      <c r="IQ131" s="122"/>
      <c r="IR131" s="122"/>
      <c r="IS131" s="122"/>
      <c r="IT131" s="122"/>
      <c r="IU131" s="122"/>
      <c r="IV131" s="122"/>
      <c r="IW131" s="123"/>
      <c r="IX131" s="125"/>
      <c r="IY131" s="68"/>
      <c r="IZ131" s="122"/>
      <c r="JA131" s="122"/>
      <c r="JB131" s="122"/>
      <c r="JC131" s="122"/>
      <c r="JD131" s="122"/>
      <c r="JE131" s="122"/>
      <c r="JF131" s="122"/>
      <c r="JG131" s="122"/>
      <c r="JH131" s="122"/>
      <c r="JI131" s="122"/>
      <c r="JJ131" s="122"/>
      <c r="JK131" s="122"/>
      <c r="JL131" s="122"/>
      <c r="JM131" s="122"/>
      <c r="JN131" s="122"/>
      <c r="JO131" s="122"/>
      <c r="JP131" s="122"/>
      <c r="JQ131" s="122"/>
      <c r="JR131" s="122"/>
      <c r="JS131" s="122"/>
      <c r="JT131" s="122"/>
      <c r="JU131" s="122"/>
      <c r="JV131" s="122"/>
      <c r="JW131" s="122"/>
      <c r="JX131" s="122"/>
      <c r="JY131" s="122"/>
      <c r="JZ131" s="122"/>
      <c r="KA131" s="123"/>
      <c r="KB131" s="73"/>
      <c r="KC131" s="122"/>
      <c r="KD131" s="122"/>
      <c r="KE131" s="122"/>
      <c r="KF131" s="122"/>
      <c r="KG131" s="122"/>
    </row>
    <row r="132" customFormat="false" ht="22.5" hidden="false" customHeight="true" outlineLevel="1" collapsed="false">
      <c r="B132" s="75" t="s">
        <v>369</v>
      </c>
      <c r="C132" s="147" t="s">
        <v>370</v>
      </c>
      <c r="D132" s="127" t="s">
        <v>138</v>
      </c>
      <c r="E132" s="128" t="n">
        <v>5</v>
      </c>
      <c r="F132" s="129" t="n">
        <v>5</v>
      </c>
      <c r="G132" s="130" t="n">
        <f aca="false">E132-F132</f>
        <v>0</v>
      </c>
      <c r="H132" s="131" t="n">
        <v>1</v>
      </c>
      <c r="I132" s="216" t="n">
        <v>4.25</v>
      </c>
      <c r="J132" s="133" t="n">
        <v>46281</v>
      </c>
      <c r="K132" s="134" t="n">
        <v>46283</v>
      </c>
      <c r="L132" s="135" t="n">
        <f aca="false">K132-J132</f>
        <v>2</v>
      </c>
      <c r="M132" s="136" t="n">
        <f aca="false">IFERROR(F132/E132,"")</f>
        <v>1</v>
      </c>
      <c r="N132" s="87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9"/>
      <c r="AK132" s="90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  <c r="BD132" s="88"/>
      <c r="BE132" s="88"/>
      <c r="BF132" s="88"/>
      <c r="BG132" s="88"/>
      <c r="BH132" s="88"/>
      <c r="BI132" s="88"/>
      <c r="BJ132" s="88"/>
      <c r="BK132" s="88"/>
      <c r="BL132" s="88"/>
      <c r="BM132" s="88"/>
      <c r="BN132" s="89"/>
      <c r="BO132" s="90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91"/>
      <c r="CT132" s="90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  <c r="DL132" s="88"/>
      <c r="DM132" s="88"/>
      <c r="DN132" s="88"/>
      <c r="DO132" s="88"/>
      <c r="DP132" s="88"/>
      <c r="DQ132" s="88"/>
      <c r="DR132" s="88"/>
      <c r="DS132" s="88"/>
      <c r="DT132" s="88"/>
      <c r="DU132" s="92"/>
      <c r="DV132" s="87"/>
      <c r="DW132" s="88"/>
      <c r="DX132" s="88"/>
      <c r="DY132" s="88"/>
      <c r="DZ132" s="88"/>
      <c r="EA132" s="88"/>
      <c r="EB132" s="88"/>
      <c r="EC132" s="88"/>
      <c r="ED132" s="89"/>
      <c r="EE132" s="90"/>
      <c r="EF132" s="88"/>
      <c r="EG132" s="88"/>
      <c r="EH132" s="88"/>
      <c r="EI132" s="88"/>
      <c r="EJ132" s="88"/>
      <c r="EK132" s="88"/>
      <c r="EL132" s="88"/>
      <c r="EM132" s="88"/>
      <c r="EN132" s="88"/>
      <c r="EO132" s="88"/>
      <c r="EP132" s="88"/>
      <c r="EQ132" s="88"/>
      <c r="ER132" s="88"/>
      <c r="ES132" s="88"/>
      <c r="ET132" s="88"/>
      <c r="EU132" s="88"/>
      <c r="EV132" s="88"/>
      <c r="EW132" s="88"/>
      <c r="EX132" s="88"/>
      <c r="EY132" s="88"/>
      <c r="EZ132" s="88"/>
      <c r="FA132" s="88"/>
      <c r="FB132" s="88"/>
      <c r="FC132" s="88"/>
      <c r="FD132" s="88"/>
      <c r="FE132" s="88"/>
      <c r="FF132" s="88"/>
      <c r="FG132" s="88"/>
      <c r="FH132" s="88"/>
      <c r="FI132" s="89"/>
      <c r="FJ132" s="90"/>
      <c r="FK132" s="88"/>
      <c r="FL132" s="88"/>
      <c r="FM132" s="88"/>
      <c r="FN132" s="88"/>
      <c r="FO132" s="88"/>
      <c r="FP132" s="88"/>
      <c r="FQ132" s="88"/>
      <c r="FR132" s="88"/>
      <c r="FS132" s="88"/>
      <c r="FT132" s="88"/>
      <c r="FU132" s="88"/>
      <c r="FV132" s="88"/>
      <c r="FW132" s="88"/>
      <c r="FX132" s="88"/>
      <c r="FY132" s="88"/>
      <c r="FZ132" s="88"/>
      <c r="GA132" s="88"/>
      <c r="GB132" s="88"/>
      <c r="GC132" s="88"/>
      <c r="GD132" s="88"/>
      <c r="GE132" s="88"/>
      <c r="GF132" s="88"/>
      <c r="GG132" s="88"/>
      <c r="GH132" s="88"/>
      <c r="GI132" s="88"/>
      <c r="GJ132" s="88"/>
      <c r="GK132" s="88"/>
      <c r="GL132" s="88"/>
      <c r="GM132" s="88"/>
      <c r="GN132" s="89"/>
      <c r="GO132" s="90"/>
      <c r="GP132" s="88"/>
      <c r="GQ132" s="88"/>
      <c r="GR132" s="88"/>
      <c r="GS132" s="88"/>
      <c r="GT132" s="88"/>
      <c r="GU132" s="88"/>
      <c r="GV132" s="88"/>
      <c r="GW132" s="88"/>
      <c r="GX132" s="88"/>
      <c r="GY132" s="88"/>
      <c r="GZ132" s="88"/>
      <c r="HA132" s="88"/>
      <c r="HB132" s="88"/>
      <c r="HC132" s="88"/>
      <c r="HD132" s="88"/>
      <c r="HE132" s="88"/>
      <c r="HF132" s="88"/>
      <c r="HG132" s="88"/>
      <c r="HH132" s="88"/>
      <c r="HI132" s="88"/>
      <c r="HJ132" s="88"/>
      <c r="HK132" s="88"/>
      <c r="HL132" s="88"/>
      <c r="HM132" s="88"/>
      <c r="HN132" s="88"/>
      <c r="HO132" s="92"/>
      <c r="HP132" s="87"/>
      <c r="HQ132" s="88"/>
      <c r="HR132" s="89"/>
      <c r="HS132" s="90"/>
      <c r="HT132" s="88"/>
      <c r="HU132" s="88"/>
      <c r="HV132" s="88"/>
      <c r="HW132" s="88"/>
      <c r="HX132" s="88"/>
      <c r="HY132" s="88"/>
      <c r="HZ132" s="88"/>
      <c r="IA132" s="88"/>
      <c r="IB132" s="88"/>
      <c r="IC132" s="88"/>
      <c r="ID132" s="88"/>
      <c r="IE132" s="88"/>
      <c r="IF132" s="88"/>
      <c r="IG132" s="88"/>
      <c r="IH132" s="88"/>
      <c r="II132" s="88"/>
      <c r="IJ132" s="88"/>
      <c r="IK132" s="88"/>
      <c r="IL132" s="88"/>
      <c r="IM132" s="88"/>
      <c r="IN132" s="88"/>
      <c r="IO132" s="88"/>
      <c r="IP132" s="88"/>
      <c r="IQ132" s="88"/>
      <c r="IR132" s="88"/>
      <c r="IS132" s="88"/>
      <c r="IT132" s="88"/>
      <c r="IU132" s="88"/>
      <c r="IV132" s="88"/>
      <c r="IW132" s="89"/>
      <c r="IX132" s="92"/>
      <c r="IY132" s="87"/>
      <c r="IZ132" s="88"/>
      <c r="JA132" s="88"/>
      <c r="JB132" s="88"/>
      <c r="JC132" s="88"/>
      <c r="JD132" s="88"/>
      <c r="JE132" s="88"/>
      <c r="JF132" s="88"/>
      <c r="JG132" s="88"/>
      <c r="JH132" s="88"/>
      <c r="JI132" s="88"/>
      <c r="JJ132" s="88"/>
      <c r="JK132" s="88"/>
      <c r="JL132" s="88"/>
      <c r="JM132" s="88"/>
      <c r="JN132" s="88"/>
      <c r="JO132" s="88"/>
      <c r="JP132" s="88"/>
      <c r="JQ132" s="88"/>
      <c r="JR132" s="88"/>
      <c r="JS132" s="88"/>
      <c r="JT132" s="88"/>
      <c r="JU132" s="88"/>
      <c r="JV132" s="88"/>
      <c r="JW132" s="88"/>
      <c r="JX132" s="88"/>
      <c r="JY132" s="88"/>
      <c r="JZ132" s="88"/>
      <c r="KA132" s="89"/>
      <c r="KB132" s="90"/>
      <c r="KC132" s="88"/>
      <c r="KD132" s="88"/>
      <c r="KE132" s="88"/>
      <c r="KF132" s="88"/>
      <c r="KG132" s="88"/>
    </row>
    <row r="133" customFormat="false" ht="22.5" hidden="false" customHeight="true" outlineLevel="1" collapsed="false">
      <c r="B133" s="75" t="s">
        <v>371</v>
      </c>
      <c r="C133" s="147" t="s">
        <v>372</v>
      </c>
      <c r="D133" s="127" t="s">
        <v>106</v>
      </c>
      <c r="E133" s="139" t="n">
        <v>3</v>
      </c>
      <c r="F133" s="140" t="n">
        <v>2</v>
      </c>
      <c r="G133" s="141" t="n">
        <f aca="false">E133-F133</f>
        <v>1</v>
      </c>
      <c r="H133" s="142" t="n">
        <v>1</v>
      </c>
      <c r="I133" s="166" t="n">
        <v>6.1</v>
      </c>
      <c r="J133" s="149" t="n">
        <v>46283</v>
      </c>
      <c r="K133" s="144" t="n">
        <v>46286</v>
      </c>
      <c r="L133" s="143" t="n">
        <f aca="false">K133-J133</f>
        <v>3</v>
      </c>
      <c r="M133" s="136" t="n">
        <f aca="false">IFERROR(F133/E133,"")</f>
        <v>0.666666666666667</v>
      </c>
      <c r="N133" s="87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9"/>
      <c r="AK133" s="90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  <c r="BD133" s="88"/>
      <c r="BE133" s="88"/>
      <c r="BF133" s="88"/>
      <c r="BG133" s="88"/>
      <c r="BH133" s="88"/>
      <c r="BI133" s="88"/>
      <c r="BJ133" s="88"/>
      <c r="BK133" s="88"/>
      <c r="BL133" s="88"/>
      <c r="BM133" s="88"/>
      <c r="BN133" s="89"/>
      <c r="BO133" s="90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91"/>
      <c r="CT133" s="90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  <c r="DL133" s="88"/>
      <c r="DM133" s="88"/>
      <c r="DN133" s="88"/>
      <c r="DO133" s="88"/>
      <c r="DP133" s="88"/>
      <c r="DQ133" s="88"/>
      <c r="DR133" s="88"/>
      <c r="DS133" s="88"/>
      <c r="DT133" s="88"/>
      <c r="DU133" s="92"/>
      <c r="DV133" s="87"/>
      <c r="DW133" s="88"/>
      <c r="DX133" s="88"/>
      <c r="DY133" s="88"/>
      <c r="DZ133" s="88"/>
      <c r="EA133" s="88"/>
      <c r="EB133" s="88"/>
      <c r="EC133" s="88"/>
      <c r="ED133" s="89"/>
      <c r="EE133" s="90"/>
      <c r="EF133" s="88"/>
      <c r="EG133" s="88"/>
      <c r="EH133" s="88"/>
      <c r="EI133" s="88"/>
      <c r="EJ133" s="88"/>
      <c r="EK133" s="88"/>
      <c r="EL133" s="88"/>
      <c r="EM133" s="88"/>
      <c r="EN133" s="88"/>
      <c r="EO133" s="88"/>
      <c r="EP133" s="88"/>
      <c r="EQ133" s="88"/>
      <c r="ER133" s="88"/>
      <c r="ES133" s="88"/>
      <c r="ET133" s="88"/>
      <c r="EU133" s="88"/>
      <c r="EV133" s="88"/>
      <c r="EW133" s="88"/>
      <c r="EX133" s="88"/>
      <c r="EY133" s="88"/>
      <c r="EZ133" s="88"/>
      <c r="FA133" s="88"/>
      <c r="FB133" s="88"/>
      <c r="FC133" s="88"/>
      <c r="FD133" s="88"/>
      <c r="FE133" s="88"/>
      <c r="FF133" s="88"/>
      <c r="FG133" s="88"/>
      <c r="FH133" s="88"/>
      <c r="FI133" s="89"/>
      <c r="FJ133" s="90"/>
      <c r="FK133" s="88"/>
      <c r="FL133" s="88"/>
      <c r="FM133" s="88"/>
      <c r="FN133" s="88"/>
      <c r="FO133" s="88"/>
      <c r="FP133" s="88"/>
      <c r="FQ133" s="88"/>
      <c r="FR133" s="88"/>
      <c r="FS133" s="88"/>
      <c r="FT133" s="88"/>
      <c r="FU133" s="88"/>
      <c r="FV133" s="88"/>
      <c r="FW133" s="88"/>
      <c r="FX133" s="88"/>
      <c r="FY133" s="88"/>
      <c r="FZ133" s="88"/>
      <c r="GA133" s="88"/>
      <c r="GB133" s="88"/>
      <c r="GC133" s="88"/>
      <c r="GD133" s="88"/>
      <c r="GE133" s="88"/>
      <c r="GF133" s="88"/>
      <c r="GG133" s="88"/>
      <c r="GH133" s="88"/>
      <c r="GI133" s="88"/>
      <c r="GJ133" s="88"/>
      <c r="GK133" s="88"/>
      <c r="GL133" s="88"/>
      <c r="GM133" s="88"/>
      <c r="GN133" s="89"/>
      <c r="GO133" s="90"/>
      <c r="GP133" s="88"/>
      <c r="GQ133" s="88"/>
      <c r="GR133" s="88"/>
      <c r="GS133" s="88"/>
      <c r="GT133" s="88"/>
      <c r="GU133" s="88"/>
      <c r="GV133" s="88"/>
      <c r="GW133" s="88"/>
      <c r="GX133" s="88"/>
      <c r="GY133" s="88"/>
      <c r="GZ133" s="88"/>
      <c r="HA133" s="88"/>
      <c r="HB133" s="88"/>
      <c r="HC133" s="88"/>
      <c r="HD133" s="88"/>
      <c r="HE133" s="88"/>
      <c r="HF133" s="88"/>
      <c r="HG133" s="88"/>
      <c r="HH133" s="88"/>
      <c r="HI133" s="88"/>
      <c r="HJ133" s="88"/>
      <c r="HK133" s="88"/>
      <c r="HL133" s="88"/>
      <c r="HM133" s="88"/>
      <c r="HN133" s="88"/>
      <c r="HO133" s="92"/>
      <c r="HP133" s="87"/>
      <c r="HQ133" s="88"/>
      <c r="HR133" s="89"/>
      <c r="HS133" s="90"/>
      <c r="HT133" s="88"/>
      <c r="HU133" s="88"/>
      <c r="HV133" s="88"/>
      <c r="HW133" s="88"/>
      <c r="HX133" s="88"/>
      <c r="HY133" s="88"/>
      <c r="HZ133" s="88"/>
      <c r="IA133" s="88"/>
      <c r="IB133" s="88"/>
      <c r="IC133" s="88"/>
      <c r="ID133" s="88"/>
      <c r="IE133" s="88"/>
      <c r="IF133" s="88"/>
      <c r="IG133" s="88"/>
      <c r="IH133" s="88"/>
      <c r="II133" s="88"/>
      <c r="IJ133" s="88"/>
      <c r="IK133" s="88"/>
      <c r="IL133" s="88"/>
      <c r="IM133" s="88"/>
      <c r="IN133" s="88"/>
      <c r="IO133" s="88"/>
      <c r="IP133" s="88"/>
      <c r="IQ133" s="88"/>
      <c r="IR133" s="88"/>
      <c r="IS133" s="88"/>
      <c r="IT133" s="88"/>
      <c r="IU133" s="88"/>
      <c r="IV133" s="88"/>
      <c r="IW133" s="89"/>
      <c r="IX133" s="92"/>
      <c r="IY133" s="87"/>
      <c r="IZ133" s="88"/>
      <c r="JA133" s="88"/>
      <c r="JB133" s="88"/>
      <c r="JC133" s="88"/>
      <c r="JD133" s="88"/>
      <c r="JE133" s="88"/>
      <c r="JF133" s="88"/>
      <c r="JG133" s="88"/>
      <c r="JH133" s="88"/>
      <c r="JI133" s="88"/>
      <c r="JJ133" s="88"/>
      <c r="JK133" s="88"/>
      <c r="JL133" s="88"/>
      <c r="JM133" s="88"/>
      <c r="JN133" s="88"/>
      <c r="JO133" s="88"/>
      <c r="JP133" s="88"/>
      <c r="JQ133" s="88"/>
      <c r="JR133" s="88"/>
      <c r="JS133" s="88"/>
      <c r="JT133" s="88"/>
      <c r="JU133" s="88"/>
      <c r="JV133" s="88"/>
      <c r="JW133" s="88"/>
      <c r="JX133" s="88"/>
      <c r="JY133" s="88"/>
      <c r="JZ133" s="88"/>
      <c r="KA133" s="89"/>
      <c r="KB133" s="90"/>
      <c r="KC133" s="88"/>
      <c r="KD133" s="88"/>
      <c r="KE133" s="88"/>
      <c r="KF133" s="88"/>
      <c r="KG133" s="88"/>
    </row>
    <row r="134" customFormat="false" ht="22.5" hidden="false" customHeight="true" outlineLevel="1" collapsed="false">
      <c r="B134" s="75" t="s">
        <v>373</v>
      </c>
      <c r="C134" s="217" t="s">
        <v>374</v>
      </c>
      <c r="D134" s="127" t="s">
        <v>375</v>
      </c>
      <c r="E134" s="218" t="n">
        <v>3</v>
      </c>
      <c r="F134" s="219" t="n">
        <v>3</v>
      </c>
      <c r="G134" s="220" t="n">
        <f aca="false">E134-F134</f>
        <v>0</v>
      </c>
      <c r="H134" s="221" t="n">
        <v>1</v>
      </c>
      <c r="I134" s="222" t="n">
        <v>6.2</v>
      </c>
      <c r="J134" s="242" t="n">
        <v>46286</v>
      </c>
      <c r="K134" s="243" t="n">
        <v>46287</v>
      </c>
      <c r="L134" s="143" t="n">
        <f aca="false">K134-J134</f>
        <v>1</v>
      </c>
      <c r="M134" s="223" t="n">
        <f aca="false">IFERROR(F134/E134,"")</f>
        <v>1</v>
      </c>
      <c r="N134" s="87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9"/>
      <c r="AK134" s="90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9"/>
      <c r="BO134" s="90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91"/>
      <c r="CT134" s="90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92"/>
      <c r="DV134" s="87"/>
      <c r="DW134" s="88"/>
      <c r="DX134" s="88"/>
      <c r="DY134" s="88"/>
      <c r="DZ134" s="88"/>
      <c r="EA134" s="88"/>
      <c r="EB134" s="88"/>
      <c r="EC134" s="88"/>
      <c r="ED134" s="89"/>
      <c r="EE134" s="90"/>
      <c r="EF134" s="88"/>
      <c r="EG134" s="88"/>
      <c r="EH134" s="88"/>
      <c r="EI134" s="88"/>
      <c r="EJ134" s="88"/>
      <c r="EK134" s="88"/>
      <c r="EL134" s="88"/>
      <c r="EM134" s="88"/>
      <c r="EN134" s="88"/>
      <c r="EO134" s="88"/>
      <c r="EP134" s="88"/>
      <c r="EQ134" s="88"/>
      <c r="ER134" s="88"/>
      <c r="ES134" s="88"/>
      <c r="ET134" s="88"/>
      <c r="EU134" s="88"/>
      <c r="EV134" s="88"/>
      <c r="EW134" s="88"/>
      <c r="EX134" s="88"/>
      <c r="EY134" s="88"/>
      <c r="EZ134" s="88"/>
      <c r="FA134" s="88"/>
      <c r="FB134" s="88"/>
      <c r="FC134" s="88"/>
      <c r="FD134" s="88"/>
      <c r="FE134" s="88"/>
      <c r="FF134" s="88"/>
      <c r="FG134" s="88"/>
      <c r="FH134" s="88"/>
      <c r="FI134" s="89"/>
      <c r="FJ134" s="90"/>
      <c r="FK134" s="88"/>
      <c r="FL134" s="88"/>
      <c r="FM134" s="88"/>
      <c r="FN134" s="88"/>
      <c r="FO134" s="88"/>
      <c r="FP134" s="88"/>
      <c r="FQ134" s="88"/>
      <c r="FR134" s="88"/>
      <c r="FS134" s="88"/>
      <c r="FT134" s="88"/>
      <c r="FU134" s="88"/>
      <c r="FV134" s="88"/>
      <c r="FW134" s="88"/>
      <c r="FX134" s="88"/>
      <c r="FY134" s="88"/>
      <c r="FZ134" s="88"/>
      <c r="GA134" s="88"/>
      <c r="GB134" s="88"/>
      <c r="GC134" s="88"/>
      <c r="GD134" s="88"/>
      <c r="GE134" s="88"/>
      <c r="GF134" s="88"/>
      <c r="GG134" s="88"/>
      <c r="GH134" s="88"/>
      <c r="GI134" s="88"/>
      <c r="GJ134" s="88"/>
      <c r="GK134" s="88"/>
      <c r="GL134" s="88"/>
      <c r="GM134" s="88"/>
      <c r="GN134" s="89"/>
      <c r="GO134" s="90"/>
      <c r="GP134" s="88"/>
      <c r="GQ134" s="88"/>
      <c r="GR134" s="88"/>
      <c r="GS134" s="88"/>
      <c r="GT134" s="88"/>
      <c r="GU134" s="88"/>
      <c r="GV134" s="88"/>
      <c r="GW134" s="88"/>
      <c r="GX134" s="88"/>
      <c r="GY134" s="88"/>
      <c r="GZ134" s="88"/>
      <c r="HA134" s="88"/>
      <c r="HB134" s="88"/>
      <c r="HC134" s="88"/>
      <c r="HD134" s="88"/>
      <c r="HE134" s="88"/>
      <c r="HF134" s="88"/>
      <c r="HG134" s="88"/>
      <c r="HH134" s="88"/>
      <c r="HI134" s="88"/>
      <c r="HJ134" s="88"/>
      <c r="HK134" s="88"/>
      <c r="HL134" s="88"/>
      <c r="HM134" s="88"/>
      <c r="HN134" s="88"/>
      <c r="HO134" s="92"/>
      <c r="HP134" s="87"/>
      <c r="HQ134" s="88"/>
      <c r="HR134" s="89"/>
      <c r="HS134" s="90"/>
      <c r="HT134" s="88"/>
      <c r="HU134" s="88"/>
      <c r="HV134" s="88"/>
      <c r="HW134" s="88"/>
      <c r="HX134" s="88"/>
      <c r="HY134" s="88"/>
      <c r="HZ134" s="88"/>
      <c r="IA134" s="88"/>
      <c r="IB134" s="88"/>
      <c r="IC134" s="88"/>
      <c r="ID134" s="88"/>
      <c r="IE134" s="88"/>
      <c r="IF134" s="88"/>
      <c r="IG134" s="88"/>
      <c r="IH134" s="88"/>
      <c r="II134" s="88"/>
      <c r="IJ134" s="88"/>
      <c r="IK134" s="88"/>
      <c r="IL134" s="88"/>
      <c r="IM134" s="88"/>
      <c r="IN134" s="88"/>
      <c r="IO134" s="88"/>
      <c r="IP134" s="88"/>
      <c r="IQ134" s="88"/>
      <c r="IR134" s="88"/>
      <c r="IS134" s="88"/>
      <c r="IT134" s="88"/>
      <c r="IU134" s="88"/>
      <c r="IV134" s="88"/>
      <c r="IW134" s="89"/>
      <c r="IX134" s="92"/>
      <c r="IY134" s="87"/>
      <c r="IZ134" s="88"/>
      <c r="JA134" s="88"/>
      <c r="JB134" s="88"/>
      <c r="JC134" s="88"/>
      <c r="JD134" s="88"/>
      <c r="JE134" s="88"/>
      <c r="JF134" s="88"/>
      <c r="JG134" s="88"/>
      <c r="JH134" s="88"/>
      <c r="JI134" s="88"/>
      <c r="JJ134" s="88"/>
      <c r="JK134" s="88"/>
      <c r="JL134" s="88"/>
      <c r="JM134" s="88"/>
      <c r="JN134" s="88"/>
      <c r="JO134" s="88"/>
      <c r="JP134" s="88"/>
      <c r="JQ134" s="88"/>
      <c r="JR134" s="88"/>
      <c r="JS134" s="88"/>
      <c r="JT134" s="88"/>
      <c r="JU134" s="88"/>
      <c r="JV134" s="88"/>
      <c r="JW134" s="88"/>
      <c r="JX134" s="88"/>
      <c r="JY134" s="88"/>
      <c r="JZ134" s="88"/>
      <c r="KA134" s="89"/>
      <c r="KB134" s="90"/>
      <c r="KC134" s="88"/>
      <c r="KD134" s="88"/>
      <c r="KE134" s="88"/>
      <c r="KF134" s="88"/>
      <c r="KG134" s="88"/>
    </row>
    <row r="135" customFormat="false" ht="22.5" hidden="false" customHeight="true" outlineLevel="1" collapsed="false">
      <c r="B135" s="75" t="s">
        <v>376</v>
      </c>
      <c r="C135" s="217" t="s">
        <v>377</v>
      </c>
      <c r="D135" s="127" t="s">
        <v>378</v>
      </c>
      <c r="E135" s="218" t="n">
        <v>3</v>
      </c>
      <c r="F135" s="219" t="n">
        <v>3</v>
      </c>
      <c r="G135" s="220" t="n">
        <f aca="false">E135-F135</f>
        <v>0</v>
      </c>
      <c r="H135" s="221" t="n">
        <v>1</v>
      </c>
      <c r="I135" s="222" t="n">
        <v>6.3</v>
      </c>
      <c r="J135" s="242" t="n">
        <v>46287</v>
      </c>
      <c r="K135" s="243" t="n">
        <v>46289</v>
      </c>
      <c r="L135" s="143" t="n">
        <f aca="false">K135-J135</f>
        <v>2</v>
      </c>
      <c r="M135" s="224" t="n">
        <f aca="false">IFERROR(F135/E135,"")</f>
        <v>1</v>
      </c>
      <c r="N135" s="87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9"/>
      <c r="AK135" s="90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  <c r="AX135" s="88"/>
      <c r="AY135" s="88"/>
      <c r="AZ135" s="88"/>
      <c r="BA135" s="88"/>
      <c r="BB135" s="88"/>
      <c r="BC135" s="88"/>
      <c r="BD135" s="88"/>
      <c r="BE135" s="88"/>
      <c r="BF135" s="88"/>
      <c r="BG135" s="88"/>
      <c r="BH135" s="88"/>
      <c r="BI135" s="88"/>
      <c r="BJ135" s="88"/>
      <c r="BK135" s="88"/>
      <c r="BL135" s="88"/>
      <c r="BM135" s="88"/>
      <c r="BN135" s="89"/>
      <c r="BO135" s="90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91"/>
      <c r="CT135" s="90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  <c r="DL135" s="88"/>
      <c r="DM135" s="88"/>
      <c r="DN135" s="88"/>
      <c r="DO135" s="88"/>
      <c r="DP135" s="88"/>
      <c r="DQ135" s="88"/>
      <c r="DR135" s="88"/>
      <c r="DS135" s="88"/>
      <c r="DT135" s="88"/>
      <c r="DU135" s="92"/>
      <c r="DV135" s="87"/>
      <c r="DW135" s="88"/>
      <c r="DX135" s="88"/>
      <c r="DY135" s="88"/>
      <c r="DZ135" s="88"/>
      <c r="EA135" s="88"/>
      <c r="EB135" s="88"/>
      <c r="EC135" s="88"/>
      <c r="ED135" s="89"/>
      <c r="EE135" s="90"/>
      <c r="EF135" s="88"/>
      <c r="EG135" s="88"/>
      <c r="EH135" s="88"/>
      <c r="EI135" s="88"/>
      <c r="EJ135" s="88"/>
      <c r="EK135" s="88"/>
      <c r="EL135" s="88"/>
      <c r="EM135" s="88"/>
      <c r="EN135" s="88"/>
      <c r="EO135" s="88"/>
      <c r="EP135" s="88"/>
      <c r="EQ135" s="88"/>
      <c r="ER135" s="88"/>
      <c r="ES135" s="88"/>
      <c r="ET135" s="88"/>
      <c r="EU135" s="88"/>
      <c r="EV135" s="88"/>
      <c r="EW135" s="88"/>
      <c r="EX135" s="88"/>
      <c r="EY135" s="88"/>
      <c r="EZ135" s="88"/>
      <c r="FA135" s="88"/>
      <c r="FB135" s="88"/>
      <c r="FC135" s="88"/>
      <c r="FD135" s="88"/>
      <c r="FE135" s="88"/>
      <c r="FF135" s="88"/>
      <c r="FG135" s="88"/>
      <c r="FH135" s="88"/>
      <c r="FI135" s="89"/>
      <c r="FJ135" s="90"/>
      <c r="FK135" s="88"/>
      <c r="FL135" s="88"/>
      <c r="FM135" s="88"/>
      <c r="FN135" s="88"/>
      <c r="FO135" s="88"/>
      <c r="FP135" s="88"/>
      <c r="FQ135" s="88"/>
      <c r="FR135" s="88"/>
      <c r="FS135" s="88"/>
      <c r="FT135" s="88"/>
      <c r="FU135" s="88"/>
      <c r="FV135" s="88"/>
      <c r="FW135" s="88"/>
      <c r="FX135" s="88"/>
      <c r="FY135" s="88"/>
      <c r="FZ135" s="88"/>
      <c r="GA135" s="88"/>
      <c r="GB135" s="88"/>
      <c r="GC135" s="88"/>
      <c r="GD135" s="88"/>
      <c r="GE135" s="88"/>
      <c r="GF135" s="88"/>
      <c r="GG135" s="88"/>
      <c r="GH135" s="88"/>
      <c r="GI135" s="88"/>
      <c r="GJ135" s="88"/>
      <c r="GK135" s="88"/>
      <c r="GL135" s="88"/>
      <c r="GM135" s="88"/>
      <c r="GN135" s="89"/>
      <c r="GO135" s="90"/>
      <c r="GP135" s="88"/>
      <c r="GQ135" s="88"/>
      <c r="GR135" s="88"/>
      <c r="GS135" s="88"/>
      <c r="GT135" s="88"/>
      <c r="GU135" s="88"/>
      <c r="GV135" s="88"/>
      <c r="GW135" s="88"/>
      <c r="GX135" s="88"/>
      <c r="GY135" s="88"/>
      <c r="GZ135" s="88"/>
      <c r="HA135" s="88"/>
      <c r="HB135" s="88"/>
      <c r="HC135" s="88"/>
      <c r="HD135" s="88"/>
      <c r="HE135" s="88"/>
      <c r="HF135" s="88"/>
      <c r="HG135" s="88"/>
      <c r="HH135" s="88"/>
      <c r="HI135" s="88"/>
      <c r="HJ135" s="88"/>
      <c r="HK135" s="88"/>
      <c r="HL135" s="88"/>
      <c r="HM135" s="88"/>
      <c r="HN135" s="88"/>
      <c r="HO135" s="92"/>
      <c r="HP135" s="87"/>
      <c r="HQ135" s="88"/>
      <c r="HR135" s="89"/>
      <c r="HS135" s="90"/>
      <c r="HT135" s="88"/>
      <c r="HU135" s="88"/>
      <c r="HV135" s="88"/>
      <c r="HW135" s="88"/>
      <c r="HX135" s="88"/>
      <c r="HY135" s="88"/>
      <c r="HZ135" s="88"/>
      <c r="IA135" s="88"/>
      <c r="IB135" s="88"/>
      <c r="IC135" s="88"/>
      <c r="ID135" s="88"/>
      <c r="IE135" s="88"/>
      <c r="IF135" s="88"/>
      <c r="IG135" s="88"/>
      <c r="IH135" s="88"/>
      <c r="II135" s="88"/>
      <c r="IJ135" s="88"/>
      <c r="IK135" s="88"/>
      <c r="IL135" s="88"/>
      <c r="IM135" s="88"/>
      <c r="IN135" s="88"/>
      <c r="IO135" s="88"/>
      <c r="IP135" s="88"/>
      <c r="IQ135" s="88"/>
      <c r="IR135" s="88"/>
      <c r="IS135" s="88"/>
      <c r="IT135" s="88"/>
      <c r="IU135" s="88"/>
      <c r="IV135" s="88"/>
      <c r="IW135" s="89"/>
      <c r="IX135" s="92"/>
      <c r="IY135" s="87"/>
      <c r="IZ135" s="88"/>
      <c r="JA135" s="88"/>
      <c r="JB135" s="88"/>
      <c r="JC135" s="88"/>
      <c r="JD135" s="88"/>
      <c r="JE135" s="88"/>
      <c r="JF135" s="88"/>
      <c r="JG135" s="88"/>
      <c r="JH135" s="88"/>
      <c r="JI135" s="88"/>
      <c r="JJ135" s="88"/>
      <c r="JK135" s="88"/>
      <c r="JL135" s="88"/>
      <c r="JM135" s="88"/>
      <c r="JN135" s="88"/>
      <c r="JO135" s="88"/>
      <c r="JP135" s="88"/>
      <c r="JQ135" s="88"/>
      <c r="JR135" s="88"/>
      <c r="JS135" s="88"/>
      <c r="JT135" s="88"/>
      <c r="JU135" s="88"/>
      <c r="JV135" s="88"/>
      <c r="JW135" s="88"/>
      <c r="JX135" s="88"/>
      <c r="JY135" s="88"/>
      <c r="JZ135" s="88"/>
      <c r="KA135" s="89"/>
      <c r="KB135" s="90"/>
      <c r="KC135" s="88"/>
      <c r="KD135" s="88"/>
      <c r="KE135" s="88"/>
      <c r="KF135" s="88"/>
      <c r="KG135" s="88"/>
    </row>
    <row r="136" customFormat="false" ht="22.5" hidden="false" customHeight="true" outlineLevel="1" collapsed="false">
      <c r="B136" s="75" t="s">
        <v>379</v>
      </c>
      <c r="C136" s="217" t="s">
        <v>380</v>
      </c>
      <c r="D136" s="127" t="s">
        <v>381</v>
      </c>
      <c r="E136" s="218" t="n">
        <v>4</v>
      </c>
      <c r="F136" s="219" t="n">
        <v>2</v>
      </c>
      <c r="G136" s="220" t="n">
        <f aca="false">E136-F136</f>
        <v>2</v>
      </c>
      <c r="H136" s="221" t="n">
        <v>2</v>
      </c>
      <c r="I136" s="222" t="n">
        <v>4.26</v>
      </c>
      <c r="J136" s="242" t="n">
        <v>46281</v>
      </c>
      <c r="K136" s="243" t="n">
        <v>46285</v>
      </c>
      <c r="L136" s="143" t="n">
        <f aca="false">K136-J136</f>
        <v>4</v>
      </c>
      <c r="M136" s="224" t="n">
        <f aca="false">IFERROR(F136/E136,"")</f>
        <v>0.5</v>
      </c>
      <c r="N136" s="87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9"/>
      <c r="AK136" s="90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  <c r="AX136" s="88"/>
      <c r="AY136" s="88"/>
      <c r="AZ136" s="88"/>
      <c r="BA136" s="88"/>
      <c r="BB136" s="88"/>
      <c r="BC136" s="88"/>
      <c r="BD136" s="88"/>
      <c r="BE136" s="88"/>
      <c r="BF136" s="88"/>
      <c r="BG136" s="88"/>
      <c r="BH136" s="88"/>
      <c r="BI136" s="88"/>
      <c r="BJ136" s="88"/>
      <c r="BK136" s="88"/>
      <c r="BL136" s="88"/>
      <c r="BM136" s="88"/>
      <c r="BN136" s="89"/>
      <c r="BO136" s="90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91"/>
      <c r="CT136" s="90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  <c r="DL136" s="88"/>
      <c r="DM136" s="88"/>
      <c r="DN136" s="88"/>
      <c r="DO136" s="88"/>
      <c r="DP136" s="88"/>
      <c r="DQ136" s="88"/>
      <c r="DR136" s="88"/>
      <c r="DS136" s="88"/>
      <c r="DT136" s="88"/>
      <c r="DU136" s="92"/>
      <c r="DV136" s="87"/>
      <c r="DW136" s="88"/>
      <c r="DX136" s="88"/>
      <c r="DY136" s="88"/>
      <c r="DZ136" s="88"/>
      <c r="EA136" s="88"/>
      <c r="EB136" s="88"/>
      <c r="EC136" s="88"/>
      <c r="ED136" s="89"/>
      <c r="EE136" s="90"/>
      <c r="EF136" s="88"/>
      <c r="EG136" s="88"/>
      <c r="EH136" s="88"/>
      <c r="EI136" s="88"/>
      <c r="EJ136" s="88"/>
      <c r="EK136" s="88"/>
      <c r="EL136" s="88"/>
      <c r="EM136" s="88"/>
      <c r="EN136" s="88"/>
      <c r="EO136" s="88"/>
      <c r="EP136" s="88"/>
      <c r="EQ136" s="88"/>
      <c r="ER136" s="88"/>
      <c r="ES136" s="88"/>
      <c r="ET136" s="88"/>
      <c r="EU136" s="88"/>
      <c r="EV136" s="88"/>
      <c r="EW136" s="88"/>
      <c r="EX136" s="88"/>
      <c r="EY136" s="88"/>
      <c r="EZ136" s="88"/>
      <c r="FA136" s="88"/>
      <c r="FB136" s="88"/>
      <c r="FC136" s="88"/>
      <c r="FD136" s="88"/>
      <c r="FE136" s="88"/>
      <c r="FF136" s="88"/>
      <c r="FG136" s="88"/>
      <c r="FH136" s="88"/>
      <c r="FI136" s="89"/>
      <c r="FJ136" s="90"/>
      <c r="FK136" s="88"/>
      <c r="FL136" s="88"/>
      <c r="FM136" s="88"/>
      <c r="FN136" s="88"/>
      <c r="FO136" s="88"/>
      <c r="FP136" s="88"/>
      <c r="FQ136" s="88"/>
      <c r="FR136" s="88"/>
      <c r="FS136" s="88"/>
      <c r="FT136" s="88"/>
      <c r="FU136" s="88"/>
      <c r="FV136" s="88"/>
      <c r="FW136" s="88"/>
      <c r="FX136" s="88"/>
      <c r="FY136" s="88"/>
      <c r="FZ136" s="88"/>
      <c r="GA136" s="88"/>
      <c r="GB136" s="88"/>
      <c r="GC136" s="88"/>
      <c r="GD136" s="88"/>
      <c r="GE136" s="88"/>
      <c r="GF136" s="88"/>
      <c r="GG136" s="88"/>
      <c r="GH136" s="88"/>
      <c r="GI136" s="88"/>
      <c r="GJ136" s="88"/>
      <c r="GK136" s="88"/>
      <c r="GL136" s="88"/>
      <c r="GM136" s="88"/>
      <c r="GN136" s="89"/>
      <c r="GO136" s="90"/>
      <c r="GP136" s="88"/>
      <c r="GQ136" s="88"/>
      <c r="GR136" s="88"/>
      <c r="GS136" s="88"/>
      <c r="GT136" s="88"/>
      <c r="GU136" s="88"/>
      <c r="GV136" s="88"/>
      <c r="GW136" s="88"/>
      <c r="GX136" s="88"/>
      <c r="GY136" s="88"/>
      <c r="GZ136" s="88"/>
      <c r="HA136" s="88"/>
      <c r="HB136" s="88"/>
      <c r="HC136" s="88"/>
      <c r="HD136" s="88"/>
      <c r="HE136" s="88"/>
      <c r="HF136" s="88"/>
      <c r="HG136" s="88"/>
      <c r="HH136" s="88"/>
      <c r="HI136" s="88"/>
      <c r="HJ136" s="88"/>
      <c r="HK136" s="88"/>
      <c r="HL136" s="88"/>
      <c r="HM136" s="88"/>
      <c r="HN136" s="88"/>
      <c r="HO136" s="92"/>
      <c r="HP136" s="87"/>
      <c r="HQ136" s="88"/>
      <c r="HR136" s="89"/>
      <c r="HS136" s="90"/>
      <c r="HT136" s="88"/>
      <c r="HU136" s="88"/>
      <c r="HV136" s="88"/>
      <c r="HW136" s="88"/>
      <c r="HX136" s="88"/>
      <c r="HY136" s="88"/>
      <c r="HZ136" s="88"/>
      <c r="IA136" s="88"/>
      <c r="IB136" s="88"/>
      <c r="IC136" s="88"/>
      <c r="ID136" s="88"/>
      <c r="IE136" s="88"/>
      <c r="IF136" s="88"/>
      <c r="IG136" s="88"/>
      <c r="IH136" s="88"/>
      <c r="II136" s="88"/>
      <c r="IJ136" s="88"/>
      <c r="IK136" s="88"/>
      <c r="IL136" s="88"/>
      <c r="IM136" s="88"/>
      <c r="IN136" s="88"/>
      <c r="IO136" s="88"/>
      <c r="IP136" s="88"/>
      <c r="IQ136" s="88"/>
      <c r="IR136" s="88"/>
      <c r="IS136" s="88"/>
      <c r="IT136" s="88"/>
      <c r="IU136" s="88"/>
      <c r="IV136" s="88"/>
      <c r="IW136" s="89"/>
      <c r="IX136" s="92"/>
      <c r="IY136" s="87"/>
      <c r="IZ136" s="88"/>
      <c r="JA136" s="88"/>
      <c r="JB136" s="88"/>
      <c r="JC136" s="88"/>
      <c r="JD136" s="88"/>
      <c r="JE136" s="88"/>
      <c r="JF136" s="88"/>
      <c r="JG136" s="88"/>
      <c r="JH136" s="88"/>
      <c r="JI136" s="88"/>
      <c r="JJ136" s="88"/>
      <c r="JK136" s="88"/>
      <c r="JL136" s="88"/>
      <c r="JM136" s="88"/>
      <c r="JN136" s="88"/>
      <c r="JO136" s="88"/>
      <c r="JP136" s="88"/>
      <c r="JQ136" s="88"/>
      <c r="JR136" s="88"/>
      <c r="JS136" s="88"/>
      <c r="JT136" s="88"/>
      <c r="JU136" s="88"/>
      <c r="JV136" s="88"/>
      <c r="JW136" s="88"/>
      <c r="JX136" s="88"/>
      <c r="JY136" s="88"/>
      <c r="JZ136" s="88"/>
      <c r="KA136" s="89"/>
      <c r="KB136" s="90"/>
      <c r="KC136" s="88"/>
      <c r="KD136" s="88"/>
      <c r="KE136" s="88"/>
      <c r="KF136" s="88"/>
      <c r="KG136" s="88"/>
    </row>
    <row r="137" customFormat="false" ht="22.5" hidden="false" customHeight="true" outlineLevel="1" collapsed="false">
      <c r="B137" s="75" t="s">
        <v>382</v>
      </c>
      <c r="C137" s="217" t="s">
        <v>383</v>
      </c>
      <c r="D137" s="127" t="s">
        <v>384</v>
      </c>
      <c r="E137" s="218" t="n">
        <v>4</v>
      </c>
      <c r="F137" s="219" t="n">
        <v>2</v>
      </c>
      <c r="G137" s="220" t="n">
        <f aca="false">E137-F137</f>
        <v>2</v>
      </c>
      <c r="H137" s="221" t="n">
        <v>2</v>
      </c>
      <c r="I137" s="222" t="n">
        <v>4.28</v>
      </c>
      <c r="J137" s="242" t="n">
        <v>46290</v>
      </c>
      <c r="K137" s="243" t="n">
        <v>46292</v>
      </c>
      <c r="L137" s="143" t="n">
        <f aca="false">K137-J137</f>
        <v>2</v>
      </c>
      <c r="M137" s="224" t="n">
        <f aca="false">IFERROR(F137/E137,"")</f>
        <v>0.5</v>
      </c>
      <c r="N137" s="87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9"/>
      <c r="AK137" s="90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  <c r="AX137" s="88"/>
      <c r="AY137" s="88"/>
      <c r="AZ137" s="88"/>
      <c r="BA137" s="88"/>
      <c r="BB137" s="88"/>
      <c r="BC137" s="88"/>
      <c r="BD137" s="88"/>
      <c r="BE137" s="88"/>
      <c r="BF137" s="88"/>
      <c r="BG137" s="88"/>
      <c r="BH137" s="88"/>
      <c r="BI137" s="88"/>
      <c r="BJ137" s="88"/>
      <c r="BK137" s="88"/>
      <c r="BL137" s="88"/>
      <c r="BM137" s="88"/>
      <c r="BN137" s="89"/>
      <c r="BO137" s="90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91"/>
      <c r="CT137" s="90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  <c r="DL137" s="88"/>
      <c r="DM137" s="88"/>
      <c r="DN137" s="88"/>
      <c r="DO137" s="88"/>
      <c r="DP137" s="88"/>
      <c r="DQ137" s="88"/>
      <c r="DR137" s="88"/>
      <c r="DS137" s="88"/>
      <c r="DT137" s="88"/>
      <c r="DU137" s="92"/>
      <c r="DV137" s="87"/>
      <c r="DW137" s="88"/>
      <c r="DX137" s="88"/>
      <c r="DY137" s="88"/>
      <c r="DZ137" s="88"/>
      <c r="EA137" s="88"/>
      <c r="EB137" s="88"/>
      <c r="EC137" s="88"/>
      <c r="ED137" s="89"/>
      <c r="EE137" s="90"/>
      <c r="EF137" s="88"/>
      <c r="EG137" s="88"/>
      <c r="EH137" s="88"/>
      <c r="EI137" s="88"/>
      <c r="EJ137" s="88"/>
      <c r="EK137" s="88"/>
      <c r="EL137" s="88"/>
      <c r="EM137" s="88"/>
      <c r="EN137" s="88"/>
      <c r="EO137" s="88"/>
      <c r="EP137" s="88"/>
      <c r="EQ137" s="88"/>
      <c r="ER137" s="88"/>
      <c r="ES137" s="88"/>
      <c r="ET137" s="88"/>
      <c r="EU137" s="88"/>
      <c r="EV137" s="88"/>
      <c r="EW137" s="88"/>
      <c r="EX137" s="88"/>
      <c r="EY137" s="88"/>
      <c r="EZ137" s="88"/>
      <c r="FA137" s="88"/>
      <c r="FB137" s="88"/>
      <c r="FC137" s="88"/>
      <c r="FD137" s="88"/>
      <c r="FE137" s="88"/>
      <c r="FF137" s="88"/>
      <c r="FG137" s="88"/>
      <c r="FH137" s="88"/>
      <c r="FI137" s="89"/>
      <c r="FJ137" s="90"/>
      <c r="FK137" s="88"/>
      <c r="FL137" s="88"/>
      <c r="FM137" s="88"/>
      <c r="FN137" s="88"/>
      <c r="FO137" s="88"/>
      <c r="FP137" s="88"/>
      <c r="FQ137" s="88"/>
      <c r="FR137" s="88"/>
      <c r="FS137" s="88"/>
      <c r="FT137" s="88"/>
      <c r="FU137" s="88"/>
      <c r="FV137" s="88"/>
      <c r="FW137" s="88"/>
      <c r="FX137" s="88"/>
      <c r="FY137" s="88"/>
      <c r="FZ137" s="88"/>
      <c r="GA137" s="88"/>
      <c r="GB137" s="88"/>
      <c r="GC137" s="88"/>
      <c r="GD137" s="88"/>
      <c r="GE137" s="88"/>
      <c r="GF137" s="88"/>
      <c r="GG137" s="88"/>
      <c r="GH137" s="88"/>
      <c r="GI137" s="88"/>
      <c r="GJ137" s="88"/>
      <c r="GK137" s="88"/>
      <c r="GL137" s="88"/>
      <c r="GM137" s="88"/>
      <c r="GN137" s="89"/>
      <c r="GO137" s="90"/>
      <c r="GP137" s="88"/>
      <c r="GQ137" s="88"/>
      <c r="GR137" s="88"/>
      <c r="GS137" s="88"/>
      <c r="GT137" s="88"/>
      <c r="GU137" s="88"/>
      <c r="GV137" s="88"/>
      <c r="GW137" s="88"/>
      <c r="GX137" s="88"/>
      <c r="GY137" s="88"/>
      <c r="GZ137" s="88"/>
      <c r="HA137" s="88"/>
      <c r="HB137" s="88"/>
      <c r="HC137" s="88"/>
      <c r="HD137" s="88"/>
      <c r="HE137" s="88"/>
      <c r="HF137" s="88"/>
      <c r="HG137" s="88"/>
      <c r="HH137" s="88"/>
      <c r="HI137" s="88"/>
      <c r="HJ137" s="88"/>
      <c r="HK137" s="88"/>
      <c r="HL137" s="88"/>
      <c r="HM137" s="88"/>
      <c r="HN137" s="88"/>
      <c r="HO137" s="92"/>
      <c r="HP137" s="87"/>
      <c r="HQ137" s="88"/>
      <c r="HR137" s="89"/>
      <c r="HS137" s="90"/>
      <c r="HT137" s="88"/>
      <c r="HU137" s="88"/>
      <c r="HV137" s="88"/>
      <c r="HW137" s="88"/>
      <c r="HX137" s="88"/>
      <c r="HY137" s="88"/>
      <c r="HZ137" s="88"/>
      <c r="IA137" s="88"/>
      <c r="IB137" s="88"/>
      <c r="IC137" s="88"/>
      <c r="ID137" s="88"/>
      <c r="IE137" s="88"/>
      <c r="IF137" s="88"/>
      <c r="IG137" s="88"/>
      <c r="IH137" s="88"/>
      <c r="II137" s="88"/>
      <c r="IJ137" s="88"/>
      <c r="IK137" s="88"/>
      <c r="IL137" s="88"/>
      <c r="IM137" s="88"/>
      <c r="IN137" s="88"/>
      <c r="IO137" s="88"/>
      <c r="IP137" s="88"/>
      <c r="IQ137" s="88"/>
      <c r="IR137" s="88"/>
      <c r="IS137" s="88"/>
      <c r="IT137" s="88"/>
      <c r="IU137" s="88"/>
      <c r="IV137" s="88"/>
      <c r="IW137" s="89"/>
      <c r="IX137" s="92"/>
      <c r="IY137" s="87"/>
      <c r="IZ137" s="88"/>
      <c r="JA137" s="88"/>
      <c r="JB137" s="88"/>
      <c r="JC137" s="88"/>
      <c r="JD137" s="88"/>
      <c r="JE137" s="88"/>
      <c r="JF137" s="88"/>
      <c r="JG137" s="88"/>
      <c r="JH137" s="88"/>
      <c r="JI137" s="88"/>
      <c r="JJ137" s="88"/>
      <c r="JK137" s="88"/>
      <c r="JL137" s="88"/>
      <c r="JM137" s="88"/>
      <c r="JN137" s="88"/>
      <c r="JO137" s="88"/>
      <c r="JP137" s="88"/>
      <c r="JQ137" s="88"/>
      <c r="JR137" s="88"/>
      <c r="JS137" s="88"/>
      <c r="JT137" s="88"/>
      <c r="JU137" s="88"/>
      <c r="JV137" s="88"/>
      <c r="JW137" s="88"/>
      <c r="JX137" s="88"/>
      <c r="JY137" s="88"/>
      <c r="JZ137" s="88"/>
      <c r="KA137" s="89"/>
      <c r="KB137" s="90"/>
      <c r="KC137" s="88"/>
      <c r="KD137" s="88"/>
      <c r="KE137" s="88"/>
      <c r="KF137" s="88"/>
      <c r="KG137" s="88"/>
    </row>
    <row r="138" customFormat="false" ht="22.5" hidden="false" customHeight="true" outlineLevel="1" collapsed="false">
      <c r="B138" s="75" t="s">
        <v>385</v>
      </c>
      <c r="C138" s="217" t="s">
        <v>386</v>
      </c>
      <c r="D138" s="127" t="s">
        <v>387</v>
      </c>
      <c r="E138" s="218" t="n">
        <v>3</v>
      </c>
      <c r="F138" s="219" t="n">
        <v>0</v>
      </c>
      <c r="G138" s="220" t="n">
        <f aca="false">E138-F138</f>
        <v>3</v>
      </c>
      <c r="H138" s="221" t="n">
        <v>2</v>
      </c>
      <c r="I138" s="222" t="n">
        <v>6.2</v>
      </c>
      <c r="J138" s="242" t="n">
        <v>46287</v>
      </c>
      <c r="K138" s="243" t="n">
        <v>46288</v>
      </c>
      <c r="L138" s="143" t="n">
        <f aca="false">K138-J138</f>
        <v>1</v>
      </c>
      <c r="M138" s="224" t="n">
        <f aca="false">IFERROR(F138/E138,"")</f>
        <v>0</v>
      </c>
      <c r="N138" s="225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  <c r="AA138" s="226"/>
      <c r="AB138" s="226"/>
      <c r="AC138" s="226"/>
      <c r="AD138" s="226"/>
      <c r="AE138" s="226"/>
      <c r="AF138" s="226"/>
      <c r="AG138" s="226"/>
      <c r="AH138" s="226"/>
      <c r="AI138" s="226"/>
      <c r="AJ138" s="227"/>
      <c r="AK138" s="228"/>
      <c r="AL138" s="226"/>
      <c r="AM138" s="226"/>
      <c r="AN138" s="226"/>
      <c r="AO138" s="226"/>
      <c r="AP138" s="226"/>
      <c r="AQ138" s="226"/>
      <c r="AR138" s="226"/>
      <c r="AS138" s="226"/>
      <c r="AT138" s="226"/>
      <c r="AU138" s="226"/>
      <c r="AV138" s="226"/>
      <c r="AW138" s="226"/>
      <c r="AX138" s="226"/>
      <c r="AY138" s="226"/>
      <c r="AZ138" s="226"/>
      <c r="BA138" s="226"/>
      <c r="BB138" s="226"/>
      <c r="BC138" s="226"/>
      <c r="BD138" s="226"/>
      <c r="BE138" s="226"/>
      <c r="BF138" s="226"/>
      <c r="BG138" s="226"/>
      <c r="BH138" s="226"/>
      <c r="BI138" s="226"/>
      <c r="BJ138" s="226"/>
      <c r="BK138" s="226"/>
      <c r="BL138" s="226"/>
      <c r="BM138" s="226"/>
      <c r="BN138" s="227"/>
      <c r="BO138" s="228"/>
      <c r="BP138" s="226"/>
      <c r="BQ138" s="226"/>
      <c r="BR138" s="226"/>
      <c r="BS138" s="226"/>
      <c r="BT138" s="226"/>
      <c r="BU138" s="226"/>
      <c r="BV138" s="226"/>
      <c r="BW138" s="226"/>
      <c r="BX138" s="226"/>
      <c r="BY138" s="226"/>
      <c r="BZ138" s="226"/>
      <c r="CA138" s="226"/>
      <c r="CB138" s="226"/>
      <c r="CC138" s="226"/>
      <c r="CD138" s="226"/>
      <c r="CE138" s="226"/>
      <c r="CF138" s="226"/>
      <c r="CG138" s="226"/>
      <c r="CH138" s="226"/>
      <c r="CI138" s="226"/>
      <c r="CJ138" s="226"/>
      <c r="CK138" s="226"/>
      <c r="CL138" s="226"/>
      <c r="CM138" s="226"/>
      <c r="CN138" s="226"/>
      <c r="CO138" s="226"/>
      <c r="CP138" s="226"/>
      <c r="CQ138" s="226"/>
      <c r="CR138" s="226"/>
      <c r="CS138" s="229"/>
      <c r="CT138" s="228"/>
      <c r="CU138" s="226"/>
      <c r="CV138" s="226"/>
      <c r="CW138" s="226"/>
      <c r="CX138" s="226"/>
      <c r="CY138" s="226"/>
      <c r="CZ138" s="226"/>
      <c r="DA138" s="226"/>
      <c r="DB138" s="226"/>
      <c r="DC138" s="226"/>
      <c r="DD138" s="226"/>
      <c r="DE138" s="226"/>
      <c r="DF138" s="226"/>
      <c r="DG138" s="226"/>
      <c r="DH138" s="226"/>
      <c r="DI138" s="226"/>
      <c r="DJ138" s="226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30"/>
      <c r="DV138" s="225"/>
      <c r="DW138" s="226"/>
      <c r="DX138" s="226"/>
      <c r="DY138" s="226"/>
      <c r="DZ138" s="226"/>
      <c r="EA138" s="226"/>
      <c r="EB138" s="226"/>
      <c r="EC138" s="226"/>
      <c r="ED138" s="227"/>
      <c r="EE138" s="228"/>
      <c r="EF138" s="226"/>
      <c r="EG138" s="226"/>
      <c r="EH138" s="226"/>
      <c r="EI138" s="226"/>
      <c r="EJ138" s="226"/>
      <c r="EK138" s="226"/>
      <c r="EL138" s="226"/>
      <c r="EM138" s="226"/>
      <c r="EN138" s="226"/>
      <c r="EO138" s="226"/>
      <c r="EP138" s="226"/>
      <c r="EQ138" s="226"/>
      <c r="ER138" s="226"/>
      <c r="ES138" s="226"/>
      <c r="ET138" s="226"/>
      <c r="EU138" s="226"/>
      <c r="EV138" s="226"/>
      <c r="EW138" s="226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226"/>
      <c r="FH138" s="226"/>
      <c r="FI138" s="227"/>
      <c r="FJ138" s="228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226"/>
      <c r="FU138" s="226"/>
      <c r="FV138" s="226"/>
      <c r="FW138" s="226"/>
      <c r="FX138" s="226"/>
      <c r="FY138" s="226"/>
      <c r="FZ138" s="226"/>
      <c r="GA138" s="226"/>
      <c r="GB138" s="226"/>
      <c r="GC138" s="226"/>
      <c r="GD138" s="226"/>
      <c r="GE138" s="226"/>
      <c r="GF138" s="226"/>
      <c r="GG138" s="226"/>
      <c r="GH138" s="226"/>
      <c r="GI138" s="226"/>
      <c r="GJ138" s="226"/>
      <c r="GK138" s="226"/>
      <c r="GL138" s="226"/>
      <c r="GM138" s="226"/>
      <c r="GN138" s="227"/>
      <c r="GO138" s="228"/>
      <c r="GP138" s="226"/>
      <c r="GQ138" s="226"/>
      <c r="GR138" s="226"/>
      <c r="GS138" s="226"/>
      <c r="GT138" s="226"/>
      <c r="GU138" s="226"/>
      <c r="GV138" s="226"/>
      <c r="GW138" s="226"/>
      <c r="GX138" s="226"/>
      <c r="GY138" s="226"/>
      <c r="GZ138" s="226"/>
      <c r="HA138" s="226"/>
      <c r="HB138" s="226"/>
      <c r="HC138" s="226"/>
      <c r="HD138" s="226"/>
      <c r="HE138" s="226"/>
      <c r="HF138" s="226"/>
      <c r="HG138" s="226"/>
      <c r="HH138" s="226"/>
      <c r="HI138" s="226"/>
      <c r="HJ138" s="226"/>
      <c r="HK138" s="226"/>
      <c r="HL138" s="226"/>
      <c r="HM138" s="226"/>
      <c r="HN138" s="226"/>
      <c r="HO138" s="230"/>
      <c r="HP138" s="225"/>
      <c r="HQ138" s="226"/>
      <c r="HR138" s="227"/>
      <c r="HS138" s="228"/>
      <c r="HT138" s="226"/>
      <c r="HU138" s="226"/>
      <c r="HV138" s="226"/>
      <c r="HW138" s="226"/>
      <c r="HX138" s="226"/>
      <c r="HY138" s="226"/>
      <c r="HZ138" s="226"/>
      <c r="IA138" s="226"/>
      <c r="IB138" s="226"/>
      <c r="IC138" s="226"/>
      <c r="ID138" s="226"/>
      <c r="IE138" s="226"/>
      <c r="IF138" s="226"/>
      <c r="IG138" s="226"/>
      <c r="IH138" s="226"/>
      <c r="II138" s="226"/>
      <c r="IJ138" s="226"/>
      <c r="IK138" s="226"/>
      <c r="IL138" s="226"/>
      <c r="IM138" s="226"/>
      <c r="IN138" s="226"/>
      <c r="IO138" s="226"/>
      <c r="IP138" s="226"/>
      <c r="IQ138" s="226"/>
      <c r="IR138" s="226"/>
      <c r="IS138" s="226"/>
      <c r="IT138" s="226"/>
      <c r="IU138" s="226"/>
      <c r="IV138" s="226"/>
      <c r="IW138" s="227"/>
      <c r="IX138" s="230"/>
      <c r="IY138" s="225"/>
      <c r="IZ138" s="226"/>
      <c r="JA138" s="226"/>
      <c r="JB138" s="226"/>
      <c r="JC138" s="226"/>
      <c r="JD138" s="226"/>
      <c r="JE138" s="226"/>
      <c r="JF138" s="226"/>
      <c r="JG138" s="226"/>
      <c r="JH138" s="226"/>
      <c r="JI138" s="226"/>
      <c r="JJ138" s="226"/>
      <c r="JK138" s="226"/>
      <c r="JL138" s="226"/>
      <c r="JM138" s="226"/>
      <c r="JN138" s="226"/>
      <c r="JO138" s="226"/>
      <c r="JP138" s="226"/>
      <c r="JQ138" s="226"/>
      <c r="JR138" s="226"/>
      <c r="JS138" s="226"/>
      <c r="JT138" s="226"/>
      <c r="JU138" s="226"/>
      <c r="JV138" s="226"/>
      <c r="JW138" s="226"/>
      <c r="JX138" s="226"/>
      <c r="JY138" s="226"/>
      <c r="JZ138" s="226"/>
      <c r="KA138" s="227"/>
      <c r="KB138" s="228"/>
      <c r="KC138" s="226"/>
      <c r="KD138" s="226"/>
      <c r="KE138" s="226"/>
      <c r="KF138" s="226"/>
      <c r="KG138" s="226"/>
    </row>
    <row r="139" customFormat="false" ht="22.5" hidden="false" customHeight="true" outlineLevel="1" collapsed="false">
      <c r="B139" s="75" t="s">
        <v>388</v>
      </c>
      <c r="C139" s="147" t="s">
        <v>389</v>
      </c>
      <c r="D139" s="244" t="s">
        <v>73</v>
      </c>
      <c r="E139" s="218" t="n">
        <v>2</v>
      </c>
      <c r="F139" s="219" t="n">
        <v>2</v>
      </c>
      <c r="G139" s="220" t="n">
        <f aca="false">E139-F139</f>
        <v>0</v>
      </c>
      <c r="H139" s="221" t="n">
        <v>2</v>
      </c>
      <c r="I139" s="222" t="n">
        <v>4.25</v>
      </c>
      <c r="J139" s="242" t="n">
        <v>46289</v>
      </c>
      <c r="K139" s="243" t="n">
        <v>46290</v>
      </c>
      <c r="L139" s="143" t="n">
        <f aca="false">K139-J139</f>
        <v>1</v>
      </c>
      <c r="M139" s="224" t="n">
        <f aca="false">IFERROR(F139/E139,"")</f>
        <v>1</v>
      </c>
      <c r="N139" s="225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  <c r="AA139" s="226"/>
      <c r="AB139" s="226"/>
      <c r="AC139" s="226"/>
      <c r="AD139" s="226"/>
      <c r="AE139" s="226"/>
      <c r="AF139" s="226"/>
      <c r="AG139" s="226"/>
      <c r="AH139" s="226"/>
      <c r="AI139" s="226"/>
      <c r="AJ139" s="227"/>
      <c r="AK139" s="228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226"/>
      <c r="AX139" s="226"/>
      <c r="AY139" s="226"/>
      <c r="AZ139" s="226"/>
      <c r="BA139" s="226"/>
      <c r="BB139" s="226"/>
      <c r="BC139" s="226"/>
      <c r="BD139" s="226"/>
      <c r="BE139" s="226"/>
      <c r="BF139" s="226"/>
      <c r="BG139" s="226"/>
      <c r="BH139" s="226"/>
      <c r="BI139" s="226"/>
      <c r="BJ139" s="226"/>
      <c r="BK139" s="226"/>
      <c r="BL139" s="226"/>
      <c r="BM139" s="226"/>
      <c r="BN139" s="227"/>
      <c r="BO139" s="228"/>
      <c r="BP139" s="226"/>
      <c r="BQ139" s="226"/>
      <c r="BR139" s="226"/>
      <c r="BS139" s="226"/>
      <c r="BT139" s="226"/>
      <c r="BU139" s="226"/>
      <c r="BV139" s="226"/>
      <c r="BW139" s="226"/>
      <c r="BX139" s="226"/>
      <c r="BY139" s="226"/>
      <c r="BZ139" s="226"/>
      <c r="CA139" s="226"/>
      <c r="CB139" s="226"/>
      <c r="CC139" s="226"/>
      <c r="CD139" s="226"/>
      <c r="CE139" s="226"/>
      <c r="CF139" s="226"/>
      <c r="CG139" s="226"/>
      <c r="CH139" s="226"/>
      <c r="CI139" s="226"/>
      <c r="CJ139" s="226"/>
      <c r="CK139" s="226"/>
      <c r="CL139" s="226"/>
      <c r="CM139" s="226"/>
      <c r="CN139" s="226"/>
      <c r="CO139" s="226"/>
      <c r="CP139" s="226"/>
      <c r="CQ139" s="226"/>
      <c r="CR139" s="226"/>
      <c r="CS139" s="229"/>
      <c r="CT139" s="228"/>
      <c r="CU139" s="226"/>
      <c r="CV139" s="226"/>
      <c r="CW139" s="226"/>
      <c r="CX139" s="226"/>
      <c r="CY139" s="226"/>
      <c r="CZ139" s="226"/>
      <c r="DA139" s="226"/>
      <c r="DB139" s="226"/>
      <c r="DC139" s="226"/>
      <c r="DD139" s="226"/>
      <c r="DE139" s="226"/>
      <c r="DF139" s="226"/>
      <c r="DG139" s="226"/>
      <c r="DH139" s="226"/>
      <c r="DI139" s="226"/>
      <c r="DJ139" s="226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30"/>
      <c r="DV139" s="225"/>
      <c r="DW139" s="226"/>
      <c r="DX139" s="226"/>
      <c r="DY139" s="226"/>
      <c r="DZ139" s="226"/>
      <c r="EA139" s="226"/>
      <c r="EB139" s="226"/>
      <c r="EC139" s="226"/>
      <c r="ED139" s="227"/>
      <c r="EE139" s="228"/>
      <c r="EF139" s="226"/>
      <c r="EG139" s="226"/>
      <c r="EH139" s="226"/>
      <c r="EI139" s="226"/>
      <c r="EJ139" s="226"/>
      <c r="EK139" s="226"/>
      <c r="EL139" s="226"/>
      <c r="EM139" s="226"/>
      <c r="EN139" s="226"/>
      <c r="EO139" s="226"/>
      <c r="EP139" s="226"/>
      <c r="EQ139" s="226"/>
      <c r="ER139" s="226"/>
      <c r="ES139" s="226"/>
      <c r="ET139" s="226"/>
      <c r="EU139" s="226"/>
      <c r="EV139" s="226"/>
      <c r="EW139" s="226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226"/>
      <c r="FH139" s="226"/>
      <c r="FI139" s="227"/>
      <c r="FJ139" s="228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226"/>
      <c r="FU139" s="226"/>
      <c r="FV139" s="226"/>
      <c r="FW139" s="226"/>
      <c r="FX139" s="226"/>
      <c r="FY139" s="226"/>
      <c r="FZ139" s="226"/>
      <c r="GA139" s="226"/>
      <c r="GB139" s="226"/>
      <c r="GC139" s="226"/>
      <c r="GD139" s="226"/>
      <c r="GE139" s="226"/>
      <c r="GF139" s="226"/>
      <c r="GG139" s="226"/>
      <c r="GH139" s="226"/>
      <c r="GI139" s="226"/>
      <c r="GJ139" s="226"/>
      <c r="GK139" s="226"/>
      <c r="GL139" s="226"/>
      <c r="GM139" s="226"/>
      <c r="GN139" s="227"/>
      <c r="GO139" s="228"/>
      <c r="GP139" s="226"/>
      <c r="GQ139" s="226"/>
      <c r="GR139" s="226"/>
      <c r="GS139" s="226"/>
      <c r="GT139" s="226"/>
      <c r="GU139" s="226"/>
      <c r="GV139" s="226"/>
      <c r="GW139" s="226"/>
      <c r="GX139" s="226"/>
      <c r="GY139" s="226"/>
      <c r="GZ139" s="226"/>
      <c r="HA139" s="226"/>
      <c r="HB139" s="226"/>
      <c r="HC139" s="226"/>
      <c r="HD139" s="226"/>
      <c r="HE139" s="226"/>
      <c r="HF139" s="226"/>
      <c r="HG139" s="226"/>
      <c r="HH139" s="226"/>
      <c r="HI139" s="226"/>
      <c r="HJ139" s="226"/>
      <c r="HK139" s="226"/>
      <c r="HL139" s="226"/>
      <c r="HM139" s="226"/>
      <c r="HN139" s="226"/>
      <c r="HO139" s="230"/>
      <c r="HP139" s="225"/>
      <c r="HQ139" s="226"/>
      <c r="HR139" s="227"/>
      <c r="HS139" s="228"/>
      <c r="HT139" s="226"/>
      <c r="HU139" s="226"/>
      <c r="HV139" s="226"/>
      <c r="HW139" s="226"/>
      <c r="HX139" s="226"/>
      <c r="HY139" s="226"/>
      <c r="HZ139" s="226"/>
      <c r="IA139" s="226"/>
      <c r="IB139" s="226"/>
      <c r="IC139" s="226"/>
      <c r="ID139" s="226"/>
      <c r="IE139" s="226"/>
      <c r="IF139" s="226"/>
      <c r="IG139" s="226"/>
      <c r="IH139" s="226"/>
      <c r="II139" s="226"/>
      <c r="IJ139" s="226"/>
      <c r="IK139" s="226"/>
      <c r="IL139" s="226"/>
      <c r="IM139" s="226"/>
      <c r="IN139" s="226"/>
      <c r="IO139" s="226"/>
      <c r="IP139" s="226"/>
      <c r="IQ139" s="226"/>
      <c r="IR139" s="226"/>
      <c r="IS139" s="226"/>
      <c r="IT139" s="226"/>
      <c r="IU139" s="226"/>
      <c r="IV139" s="226"/>
      <c r="IW139" s="227"/>
      <c r="IX139" s="230"/>
      <c r="IY139" s="225"/>
      <c r="IZ139" s="226"/>
      <c r="JA139" s="226"/>
      <c r="JB139" s="226"/>
      <c r="JC139" s="226"/>
      <c r="JD139" s="226"/>
      <c r="JE139" s="226"/>
      <c r="JF139" s="226"/>
      <c r="JG139" s="226"/>
      <c r="JH139" s="226"/>
      <c r="JI139" s="226"/>
      <c r="JJ139" s="226"/>
      <c r="JK139" s="226"/>
      <c r="JL139" s="226"/>
      <c r="JM139" s="226"/>
      <c r="JN139" s="226"/>
      <c r="JO139" s="226"/>
      <c r="JP139" s="226"/>
      <c r="JQ139" s="226"/>
      <c r="JR139" s="226"/>
      <c r="JS139" s="226"/>
      <c r="JT139" s="226"/>
      <c r="JU139" s="226"/>
      <c r="JV139" s="226"/>
      <c r="JW139" s="226"/>
      <c r="JX139" s="226"/>
      <c r="JY139" s="226"/>
      <c r="JZ139" s="226"/>
      <c r="KA139" s="227"/>
      <c r="KB139" s="228"/>
      <c r="KC139" s="226"/>
      <c r="KD139" s="226"/>
      <c r="KE139" s="226"/>
      <c r="KF139" s="226"/>
      <c r="KG139" s="226"/>
    </row>
    <row r="140" customFormat="false" ht="22.5" hidden="false" customHeight="true" outlineLevel="1" collapsed="false">
      <c r="B140" s="75" t="s">
        <v>390</v>
      </c>
      <c r="C140" s="147" t="s">
        <v>391</v>
      </c>
      <c r="D140" s="244" t="s">
        <v>392</v>
      </c>
      <c r="E140" s="218" t="n">
        <v>2</v>
      </c>
      <c r="F140" s="219" t="n">
        <v>0</v>
      </c>
      <c r="G140" s="220" t="n">
        <f aca="false">E140-F140</f>
        <v>2</v>
      </c>
      <c r="H140" s="221" t="n">
        <v>2</v>
      </c>
      <c r="I140" s="222" t="n">
        <v>6.5</v>
      </c>
      <c r="J140" s="242" t="n">
        <v>46285</v>
      </c>
      <c r="K140" s="243" t="n">
        <v>46288</v>
      </c>
      <c r="L140" s="143" t="n">
        <f aca="false">K140-J140</f>
        <v>3</v>
      </c>
      <c r="M140" s="224" t="n">
        <f aca="false">IFERROR(F140/E140,"")</f>
        <v>0</v>
      </c>
      <c r="N140" s="225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  <c r="AA140" s="226"/>
      <c r="AB140" s="226"/>
      <c r="AC140" s="226"/>
      <c r="AD140" s="226"/>
      <c r="AE140" s="226"/>
      <c r="AF140" s="226"/>
      <c r="AG140" s="226"/>
      <c r="AH140" s="226"/>
      <c r="AI140" s="226"/>
      <c r="AJ140" s="227"/>
      <c r="AK140" s="228"/>
      <c r="AL140" s="226"/>
      <c r="AM140" s="226"/>
      <c r="AN140" s="226"/>
      <c r="AO140" s="226"/>
      <c r="AP140" s="226"/>
      <c r="AQ140" s="226"/>
      <c r="AR140" s="226"/>
      <c r="AS140" s="226"/>
      <c r="AT140" s="226"/>
      <c r="AU140" s="226"/>
      <c r="AV140" s="226"/>
      <c r="AW140" s="226"/>
      <c r="AX140" s="226"/>
      <c r="AY140" s="226"/>
      <c r="AZ140" s="226"/>
      <c r="BA140" s="226"/>
      <c r="BB140" s="226"/>
      <c r="BC140" s="226"/>
      <c r="BD140" s="226"/>
      <c r="BE140" s="226"/>
      <c r="BF140" s="226"/>
      <c r="BG140" s="226"/>
      <c r="BH140" s="226"/>
      <c r="BI140" s="226"/>
      <c r="BJ140" s="226"/>
      <c r="BK140" s="226"/>
      <c r="BL140" s="226"/>
      <c r="BM140" s="226"/>
      <c r="BN140" s="227"/>
      <c r="BO140" s="228"/>
      <c r="BP140" s="226"/>
      <c r="BQ140" s="226"/>
      <c r="BR140" s="226"/>
      <c r="BS140" s="226"/>
      <c r="BT140" s="226"/>
      <c r="BU140" s="226"/>
      <c r="BV140" s="226"/>
      <c r="BW140" s="226"/>
      <c r="BX140" s="226"/>
      <c r="BY140" s="226"/>
      <c r="BZ140" s="226"/>
      <c r="CA140" s="226"/>
      <c r="CB140" s="226"/>
      <c r="CC140" s="226"/>
      <c r="CD140" s="226"/>
      <c r="CE140" s="226"/>
      <c r="CF140" s="226"/>
      <c r="CG140" s="226"/>
      <c r="CH140" s="226"/>
      <c r="CI140" s="226"/>
      <c r="CJ140" s="226"/>
      <c r="CK140" s="226"/>
      <c r="CL140" s="226"/>
      <c r="CM140" s="226"/>
      <c r="CN140" s="226"/>
      <c r="CO140" s="226"/>
      <c r="CP140" s="226"/>
      <c r="CQ140" s="226"/>
      <c r="CR140" s="226"/>
      <c r="CS140" s="229"/>
      <c r="CT140" s="228"/>
      <c r="CU140" s="226"/>
      <c r="CV140" s="226"/>
      <c r="CW140" s="226"/>
      <c r="CX140" s="226"/>
      <c r="CY140" s="226"/>
      <c r="CZ140" s="226"/>
      <c r="DA140" s="226"/>
      <c r="DB140" s="226"/>
      <c r="DC140" s="226"/>
      <c r="DD140" s="226"/>
      <c r="DE140" s="226"/>
      <c r="DF140" s="226"/>
      <c r="DG140" s="226"/>
      <c r="DH140" s="226"/>
      <c r="DI140" s="226"/>
      <c r="DJ140" s="226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30"/>
      <c r="DV140" s="225"/>
      <c r="DW140" s="226"/>
      <c r="DX140" s="226"/>
      <c r="DY140" s="226"/>
      <c r="DZ140" s="226"/>
      <c r="EA140" s="226"/>
      <c r="EB140" s="226"/>
      <c r="EC140" s="226"/>
      <c r="ED140" s="227"/>
      <c r="EE140" s="228"/>
      <c r="EF140" s="226"/>
      <c r="EG140" s="226"/>
      <c r="EH140" s="226"/>
      <c r="EI140" s="226"/>
      <c r="EJ140" s="226"/>
      <c r="EK140" s="226"/>
      <c r="EL140" s="226"/>
      <c r="EM140" s="226"/>
      <c r="EN140" s="226"/>
      <c r="EO140" s="226"/>
      <c r="EP140" s="226"/>
      <c r="EQ140" s="226"/>
      <c r="ER140" s="226"/>
      <c r="ES140" s="226"/>
      <c r="ET140" s="226"/>
      <c r="EU140" s="226"/>
      <c r="EV140" s="226"/>
      <c r="EW140" s="226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226"/>
      <c r="FH140" s="226"/>
      <c r="FI140" s="227"/>
      <c r="FJ140" s="228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226"/>
      <c r="FU140" s="226"/>
      <c r="FV140" s="226"/>
      <c r="FW140" s="226"/>
      <c r="FX140" s="226"/>
      <c r="FY140" s="226"/>
      <c r="FZ140" s="226"/>
      <c r="GA140" s="226"/>
      <c r="GB140" s="226"/>
      <c r="GC140" s="226"/>
      <c r="GD140" s="226"/>
      <c r="GE140" s="226"/>
      <c r="GF140" s="226"/>
      <c r="GG140" s="226"/>
      <c r="GH140" s="226"/>
      <c r="GI140" s="226"/>
      <c r="GJ140" s="226"/>
      <c r="GK140" s="226"/>
      <c r="GL140" s="226"/>
      <c r="GM140" s="226"/>
      <c r="GN140" s="227"/>
      <c r="GO140" s="228"/>
      <c r="GP140" s="226"/>
      <c r="GQ140" s="226"/>
      <c r="GR140" s="226"/>
      <c r="GS140" s="226"/>
      <c r="GT140" s="226"/>
      <c r="GU140" s="226"/>
      <c r="GV140" s="226"/>
      <c r="GW140" s="226"/>
      <c r="GX140" s="226"/>
      <c r="GY140" s="226"/>
      <c r="GZ140" s="226"/>
      <c r="HA140" s="226"/>
      <c r="HB140" s="226"/>
      <c r="HC140" s="226"/>
      <c r="HD140" s="226"/>
      <c r="HE140" s="226"/>
      <c r="HF140" s="226"/>
      <c r="HG140" s="226"/>
      <c r="HH140" s="226"/>
      <c r="HI140" s="226"/>
      <c r="HJ140" s="226"/>
      <c r="HK140" s="226"/>
      <c r="HL140" s="226"/>
      <c r="HM140" s="226"/>
      <c r="HN140" s="226"/>
      <c r="HO140" s="230"/>
      <c r="HP140" s="225"/>
      <c r="HQ140" s="226"/>
      <c r="HR140" s="227"/>
      <c r="HS140" s="228"/>
      <c r="HT140" s="226"/>
      <c r="HU140" s="226"/>
      <c r="HV140" s="226"/>
      <c r="HW140" s="226"/>
      <c r="HX140" s="226"/>
      <c r="HY140" s="226"/>
      <c r="HZ140" s="226"/>
      <c r="IA140" s="226"/>
      <c r="IB140" s="226"/>
      <c r="IC140" s="226"/>
      <c r="ID140" s="226"/>
      <c r="IE140" s="226"/>
      <c r="IF140" s="226"/>
      <c r="IG140" s="226"/>
      <c r="IH140" s="226"/>
      <c r="II140" s="226"/>
      <c r="IJ140" s="226"/>
      <c r="IK140" s="226"/>
      <c r="IL140" s="226"/>
      <c r="IM140" s="226"/>
      <c r="IN140" s="226"/>
      <c r="IO140" s="226"/>
      <c r="IP140" s="226"/>
      <c r="IQ140" s="226"/>
      <c r="IR140" s="226"/>
      <c r="IS140" s="226"/>
      <c r="IT140" s="226"/>
      <c r="IU140" s="226"/>
      <c r="IV140" s="226"/>
      <c r="IW140" s="227"/>
      <c r="IX140" s="230"/>
      <c r="IY140" s="225"/>
      <c r="IZ140" s="226"/>
      <c r="JA140" s="226"/>
      <c r="JB140" s="226"/>
      <c r="JC140" s="226"/>
      <c r="JD140" s="226"/>
      <c r="JE140" s="226"/>
      <c r="JF140" s="226"/>
      <c r="JG140" s="226"/>
      <c r="JH140" s="226"/>
      <c r="JI140" s="226"/>
      <c r="JJ140" s="226"/>
      <c r="JK140" s="226"/>
      <c r="JL140" s="226"/>
      <c r="JM140" s="226"/>
      <c r="JN140" s="226"/>
      <c r="JO140" s="226"/>
      <c r="JP140" s="226"/>
      <c r="JQ140" s="226"/>
      <c r="JR140" s="226"/>
      <c r="JS140" s="226"/>
      <c r="JT140" s="226"/>
      <c r="JU140" s="226"/>
      <c r="JV140" s="226"/>
      <c r="JW140" s="226"/>
      <c r="JX140" s="226"/>
      <c r="JY140" s="226"/>
      <c r="JZ140" s="226"/>
      <c r="KA140" s="227"/>
      <c r="KB140" s="228"/>
      <c r="KC140" s="226"/>
      <c r="KD140" s="226"/>
      <c r="KE140" s="226"/>
      <c r="KF140" s="226"/>
      <c r="KG140" s="226"/>
    </row>
    <row r="141" customFormat="false" ht="22.5" hidden="false" customHeight="true" outlineLevel="1" collapsed="false">
      <c r="B141" s="75" t="s">
        <v>393</v>
      </c>
      <c r="C141" s="217" t="s">
        <v>394</v>
      </c>
      <c r="D141" s="244" t="s">
        <v>395</v>
      </c>
      <c r="E141" s="218" t="n">
        <v>10</v>
      </c>
      <c r="F141" s="219" t="n">
        <v>3</v>
      </c>
      <c r="G141" s="220" t="n">
        <f aca="false">E141-F141</f>
        <v>7</v>
      </c>
      <c r="H141" s="221" t="n">
        <v>2</v>
      </c>
      <c r="I141" s="222" t="n">
        <v>4.28</v>
      </c>
      <c r="J141" s="242" t="n">
        <v>46288</v>
      </c>
      <c r="K141" s="243" t="n">
        <v>46291</v>
      </c>
      <c r="L141" s="143" t="n">
        <f aca="false">K141-J141</f>
        <v>3</v>
      </c>
      <c r="M141" s="224" t="n">
        <f aca="false">IFERROR(F141/E141,"")</f>
        <v>0.3</v>
      </c>
      <c r="N141" s="225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  <c r="AA141" s="226"/>
      <c r="AB141" s="226"/>
      <c r="AC141" s="226"/>
      <c r="AD141" s="226"/>
      <c r="AE141" s="226"/>
      <c r="AF141" s="226"/>
      <c r="AG141" s="226"/>
      <c r="AH141" s="226"/>
      <c r="AI141" s="226"/>
      <c r="AJ141" s="227"/>
      <c r="AK141" s="228"/>
      <c r="AL141" s="226"/>
      <c r="AM141" s="226"/>
      <c r="AN141" s="226"/>
      <c r="AO141" s="226"/>
      <c r="AP141" s="226"/>
      <c r="AQ141" s="226"/>
      <c r="AR141" s="226"/>
      <c r="AS141" s="226"/>
      <c r="AT141" s="226"/>
      <c r="AU141" s="226"/>
      <c r="AV141" s="226"/>
      <c r="AW141" s="226"/>
      <c r="AX141" s="226"/>
      <c r="AY141" s="226"/>
      <c r="AZ141" s="226"/>
      <c r="BA141" s="226"/>
      <c r="BB141" s="226"/>
      <c r="BC141" s="226"/>
      <c r="BD141" s="226"/>
      <c r="BE141" s="226"/>
      <c r="BF141" s="226"/>
      <c r="BG141" s="226"/>
      <c r="BH141" s="226"/>
      <c r="BI141" s="226"/>
      <c r="BJ141" s="226"/>
      <c r="BK141" s="226"/>
      <c r="BL141" s="226"/>
      <c r="BM141" s="226"/>
      <c r="BN141" s="227"/>
      <c r="BO141" s="228"/>
      <c r="BP141" s="226"/>
      <c r="BQ141" s="226"/>
      <c r="BR141" s="226"/>
      <c r="BS141" s="226"/>
      <c r="BT141" s="226"/>
      <c r="BU141" s="226"/>
      <c r="BV141" s="226"/>
      <c r="BW141" s="226"/>
      <c r="BX141" s="226"/>
      <c r="BY141" s="226"/>
      <c r="BZ141" s="226"/>
      <c r="CA141" s="226"/>
      <c r="CB141" s="226"/>
      <c r="CC141" s="226"/>
      <c r="CD141" s="226"/>
      <c r="CE141" s="226"/>
      <c r="CF141" s="226"/>
      <c r="CG141" s="226"/>
      <c r="CH141" s="226"/>
      <c r="CI141" s="226"/>
      <c r="CJ141" s="226"/>
      <c r="CK141" s="226"/>
      <c r="CL141" s="226"/>
      <c r="CM141" s="226"/>
      <c r="CN141" s="226"/>
      <c r="CO141" s="226"/>
      <c r="CP141" s="226"/>
      <c r="CQ141" s="226"/>
      <c r="CR141" s="226"/>
      <c r="CS141" s="229"/>
      <c r="CT141" s="228"/>
      <c r="CU141" s="226"/>
      <c r="CV141" s="226"/>
      <c r="CW141" s="226"/>
      <c r="CX141" s="226"/>
      <c r="CY141" s="226"/>
      <c r="CZ141" s="226"/>
      <c r="DA141" s="226"/>
      <c r="DB141" s="226"/>
      <c r="DC141" s="226"/>
      <c r="DD141" s="226"/>
      <c r="DE141" s="226"/>
      <c r="DF141" s="226"/>
      <c r="DG141" s="226"/>
      <c r="DH141" s="226"/>
      <c r="DI141" s="226"/>
      <c r="DJ141" s="226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30"/>
      <c r="DV141" s="225"/>
      <c r="DW141" s="226"/>
      <c r="DX141" s="226"/>
      <c r="DY141" s="226"/>
      <c r="DZ141" s="226"/>
      <c r="EA141" s="226"/>
      <c r="EB141" s="226"/>
      <c r="EC141" s="226"/>
      <c r="ED141" s="227"/>
      <c r="EE141" s="228"/>
      <c r="EF141" s="226"/>
      <c r="EG141" s="226"/>
      <c r="EH141" s="226"/>
      <c r="EI141" s="226"/>
      <c r="EJ141" s="226"/>
      <c r="EK141" s="226"/>
      <c r="EL141" s="226"/>
      <c r="EM141" s="226"/>
      <c r="EN141" s="226"/>
      <c r="EO141" s="226"/>
      <c r="EP141" s="226"/>
      <c r="EQ141" s="226"/>
      <c r="ER141" s="226"/>
      <c r="ES141" s="226"/>
      <c r="ET141" s="226"/>
      <c r="EU141" s="226"/>
      <c r="EV141" s="226"/>
      <c r="EW141" s="226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226"/>
      <c r="FH141" s="226"/>
      <c r="FI141" s="227"/>
      <c r="FJ141" s="228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226"/>
      <c r="FU141" s="226"/>
      <c r="FV141" s="226"/>
      <c r="FW141" s="226"/>
      <c r="FX141" s="226"/>
      <c r="FY141" s="226"/>
      <c r="FZ141" s="226"/>
      <c r="GA141" s="226"/>
      <c r="GB141" s="226"/>
      <c r="GC141" s="226"/>
      <c r="GD141" s="226"/>
      <c r="GE141" s="226"/>
      <c r="GF141" s="226"/>
      <c r="GG141" s="226"/>
      <c r="GH141" s="226"/>
      <c r="GI141" s="226"/>
      <c r="GJ141" s="226"/>
      <c r="GK141" s="226"/>
      <c r="GL141" s="226"/>
      <c r="GM141" s="226"/>
      <c r="GN141" s="227"/>
      <c r="GO141" s="228"/>
      <c r="GP141" s="226"/>
      <c r="GQ141" s="226"/>
      <c r="GR141" s="226"/>
      <c r="GS141" s="226"/>
      <c r="GT141" s="226"/>
      <c r="GU141" s="226"/>
      <c r="GV141" s="226"/>
      <c r="GW141" s="226"/>
      <c r="GX141" s="226"/>
      <c r="GY141" s="226"/>
      <c r="GZ141" s="226"/>
      <c r="HA141" s="226"/>
      <c r="HB141" s="226"/>
      <c r="HC141" s="226"/>
      <c r="HD141" s="226"/>
      <c r="HE141" s="226"/>
      <c r="HF141" s="226"/>
      <c r="HG141" s="226"/>
      <c r="HH141" s="226"/>
      <c r="HI141" s="226"/>
      <c r="HJ141" s="226"/>
      <c r="HK141" s="226"/>
      <c r="HL141" s="226"/>
      <c r="HM141" s="226"/>
      <c r="HN141" s="226"/>
      <c r="HO141" s="230"/>
      <c r="HP141" s="225"/>
      <c r="HQ141" s="226"/>
      <c r="HR141" s="227"/>
      <c r="HS141" s="228"/>
      <c r="HT141" s="226"/>
      <c r="HU141" s="226"/>
      <c r="HV141" s="226"/>
      <c r="HW141" s="226"/>
      <c r="HX141" s="226"/>
      <c r="HY141" s="226"/>
      <c r="HZ141" s="226"/>
      <c r="IA141" s="226"/>
      <c r="IB141" s="226"/>
      <c r="IC141" s="226"/>
      <c r="ID141" s="226"/>
      <c r="IE141" s="226"/>
      <c r="IF141" s="226"/>
      <c r="IG141" s="226"/>
      <c r="IH141" s="226"/>
      <c r="II141" s="226"/>
      <c r="IJ141" s="226"/>
      <c r="IK141" s="226"/>
      <c r="IL141" s="226"/>
      <c r="IM141" s="226"/>
      <c r="IN141" s="226"/>
      <c r="IO141" s="226"/>
      <c r="IP141" s="226"/>
      <c r="IQ141" s="226"/>
      <c r="IR141" s="226"/>
      <c r="IS141" s="226"/>
      <c r="IT141" s="226"/>
      <c r="IU141" s="226"/>
      <c r="IV141" s="226"/>
      <c r="IW141" s="227"/>
      <c r="IX141" s="230"/>
      <c r="IY141" s="225"/>
      <c r="IZ141" s="226"/>
      <c r="JA141" s="226"/>
      <c r="JB141" s="226"/>
      <c r="JC141" s="226"/>
      <c r="JD141" s="226"/>
      <c r="JE141" s="226"/>
      <c r="JF141" s="226"/>
      <c r="JG141" s="226"/>
      <c r="JH141" s="226"/>
      <c r="JI141" s="226"/>
      <c r="JJ141" s="226"/>
      <c r="JK141" s="226"/>
      <c r="JL141" s="226"/>
      <c r="JM141" s="226"/>
      <c r="JN141" s="226"/>
      <c r="JO141" s="226"/>
      <c r="JP141" s="226"/>
      <c r="JQ141" s="226"/>
      <c r="JR141" s="226"/>
      <c r="JS141" s="226"/>
      <c r="JT141" s="226"/>
      <c r="JU141" s="226"/>
      <c r="JV141" s="226"/>
      <c r="JW141" s="226"/>
      <c r="JX141" s="226"/>
      <c r="JY141" s="226"/>
      <c r="JZ141" s="226"/>
      <c r="KA141" s="227"/>
      <c r="KB141" s="228"/>
      <c r="KC141" s="226"/>
      <c r="KD141" s="226"/>
      <c r="KE141" s="226"/>
      <c r="KF141" s="226"/>
      <c r="KG141" s="226"/>
    </row>
    <row r="142" customFormat="false" ht="22.5" hidden="false" customHeight="true" outlineLevel="1" collapsed="false">
      <c r="B142" s="75" t="s">
        <v>396</v>
      </c>
      <c r="C142" s="217" t="s">
        <v>397</v>
      </c>
      <c r="D142" s="244" t="s">
        <v>398</v>
      </c>
      <c r="E142" s="218" t="n">
        <v>2</v>
      </c>
      <c r="F142" s="219" t="n">
        <v>0</v>
      </c>
      <c r="G142" s="220" t="n">
        <f aca="false">E142-F142</f>
        <v>2</v>
      </c>
      <c r="H142" s="221" t="n">
        <v>3</v>
      </c>
      <c r="I142" s="222" t="n">
        <v>6.1</v>
      </c>
      <c r="J142" s="242" t="n">
        <v>46291</v>
      </c>
      <c r="K142" s="243" t="n">
        <v>46293</v>
      </c>
      <c r="L142" s="143" t="n">
        <f aca="false">K142-J142</f>
        <v>2</v>
      </c>
      <c r="M142" s="224" t="n">
        <f aca="false">IFERROR(F142/E142,"")</f>
        <v>0</v>
      </c>
      <c r="N142" s="225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7"/>
      <c r="AK142" s="228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 s="226"/>
      <c r="BI142" s="226"/>
      <c r="BJ142" s="226"/>
      <c r="BK142" s="226"/>
      <c r="BL142" s="226"/>
      <c r="BM142" s="226"/>
      <c r="BN142" s="227"/>
      <c r="BO142" s="228"/>
      <c r="BP142" s="226"/>
      <c r="BQ142" s="226"/>
      <c r="BR142" s="226"/>
      <c r="BS142" s="226"/>
      <c r="BT142" s="226"/>
      <c r="BU142" s="226"/>
      <c r="BV142" s="226"/>
      <c r="BW142" s="226"/>
      <c r="BX142" s="226"/>
      <c r="BY142" s="226"/>
      <c r="BZ142" s="226"/>
      <c r="CA142" s="226"/>
      <c r="CB142" s="226"/>
      <c r="CC142" s="226"/>
      <c r="CD142" s="226"/>
      <c r="CE142" s="226"/>
      <c r="CF142" s="226"/>
      <c r="CG142" s="226"/>
      <c r="CH142" s="226"/>
      <c r="CI142" s="226"/>
      <c r="CJ142" s="226"/>
      <c r="CK142" s="226"/>
      <c r="CL142" s="226"/>
      <c r="CM142" s="226"/>
      <c r="CN142" s="226"/>
      <c r="CO142" s="226"/>
      <c r="CP142" s="226"/>
      <c r="CQ142" s="226"/>
      <c r="CR142" s="226"/>
      <c r="CS142" s="229"/>
      <c r="CT142" s="228"/>
      <c r="CU142" s="226"/>
      <c r="CV142" s="226"/>
      <c r="CW142" s="226"/>
      <c r="CX142" s="226"/>
      <c r="CY142" s="226"/>
      <c r="CZ142" s="226"/>
      <c r="DA142" s="226"/>
      <c r="DB142" s="226"/>
      <c r="DC142" s="226"/>
      <c r="DD142" s="226"/>
      <c r="DE142" s="226"/>
      <c r="DF142" s="226"/>
      <c r="DG142" s="226"/>
      <c r="DH142" s="226"/>
      <c r="DI142" s="226"/>
      <c r="DJ142" s="226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30"/>
      <c r="DV142" s="225"/>
      <c r="DW142" s="226"/>
      <c r="DX142" s="226"/>
      <c r="DY142" s="226"/>
      <c r="DZ142" s="226"/>
      <c r="EA142" s="226"/>
      <c r="EB142" s="226"/>
      <c r="EC142" s="226"/>
      <c r="ED142" s="227"/>
      <c r="EE142" s="228"/>
      <c r="EF142" s="226"/>
      <c r="EG142" s="226"/>
      <c r="EH142" s="226"/>
      <c r="EI142" s="226"/>
      <c r="EJ142" s="226"/>
      <c r="EK142" s="226"/>
      <c r="EL142" s="226"/>
      <c r="EM142" s="226"/>
      <c r="EN142" s="226"/>
      <c r="EO142" s="226"/>
      <c r="EP142" s="226"/>
      <c r="EQ142" s="226"/>
      <c r="ER142" s="226"/>
      <c r="ES142" s="226"/>
      <c r="ET142" s="226"/>
      <c r="EU142" s="226"/>
      <c r="EV142" s="226"/>
      <c r="EW142" s="226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226"/>
      <c r="FH142" s="226"/>
      <c r="FI142" s="227"/>
      <c r="FJ142" s="228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226"/>
      <c r="FU142" s="226"/>
      <c r="FV142" s="226"/>
      <c r="FW142" s="226"/>
      <c r="FX142" s="226"/>
      <c r="FY142" s="226"/>
      <c r="FZ142" s="226"/>
      <c r="GA142" s="226"/>
      <c r="GB142" s="226"/>
      <c r="GC142" s="226"/>
      <c r="GD142" s="226"/>
      <c r="GE142" s="226"/>
      <c r="GF142" s="226"/>
      <c r="GG142" s="226"/>
      <c r="GH142" s="226"/>
      <c r="GI142" s="226"/>
      <c r="GJ142" s="226"/>
      <c r="GK142" s="226"/>
      <c r="GL142" s="226"/>
      <c r="GM142" s="226"/>
      <c r="GN142" s="227"/>
      <c r="GO142" s="228"/>
      <c r="GP142" s="226"/>
      <c r="GQ142" s="226"/>
      <c r="GR142" s="226"/>
      <c r="GS142" s="226"/>
      <c r="GT142" s="226"/>
      <c r="GU142" s="226"/>
      <c r="GV142" s="226"/>
      <c r="GW142" s="226"/>
      <c r="GX142" s="226"/>
      <c r="GY142" s="226"/>
      <c r="GZ142" s="226"/>
      <c r="HA142" s="226"/>
      <c r="HB142" s="226"/>
      <c r="HC142" s="226"/>
      <c r="HD142" s="226"/>
      <c r="HE142" s="226"/>
      <c r="HF142" s="226"/>
      <c r="HG142" s="226"/>
      <c r="HH142" s="226"/>
      <c r="HI142" s="226"/>
      <c r="HJ142" s="226"/>
      <c r="HK142" s="226"/>
      <c r="HL142" s="226"/>
      <c r="HM142" s="226"/>
      <c r="HN142" s="226"/>
      <c r="HO142" s="230"/>
      <c r="HP142" s="225"/>
      <c r="HQ142" s="226"/>
      <c r="HR142" s="227"/>
      <c r="HS142" s="228"/>
      <c r="HT142" s="226"/>
      <c r="HU142" s="226"/>
      <c r="HV142" s="226"/>
      <c r="HW142" s="226"/>
      <c r="HX142" s="226"/>
      <c r="HY142" s="226"/>
      <c r="HZ142" s="226"/>
      <c r="IA142" s="226"/>
      <c r="IB142" s="226"/>
      <c r="IC142" s="226"/>
      <c r="ID142" s="226"/>
      <c r="IE142" s="226"/>
      <c r="IF142" s="226"/>
      <c r="IG142" s="226"/>
      <c r="IH142" s="226"/>
      <c r="II142" s="226"/>
      <c r="IJ142" s="226"/>
      <c r="IK142" s="226"/>
      <c r="IL142" s="226"/>
      <c r="IM142" s="226"/>
      <c r="IN142" s="226"/>
      <c r="IO142" s="226"/>
      <c r="IP142" s="226"/>
      <c r="IQ142" s="226"/>
      <c r="IR142" s="226"/>
      <c r="IS142" s="226"/>
      <c r="IT142" s="226"/>
      <c r="IU142" s="226"/>
      <c r="IV142" s="226"/>
      <c r="IW142" s="227"/>
      <c r="IX142" s="230"/>
      <c r="IY142" s="225"/>
      <c r="IZ142" s="226"/>
      <c r="JA142" s="226"/>
      <c r="JB142" s="226"/>
      <c r="JC142" s="226"/>
      <c r="JD142" s="226"/>
      <c r="JE142" s="226"/>
      <c r="JF142" s="226"/>
      <c r="JG142" s="226"/>
      <c r="JH142" s="226"/>
      <c r="JI142" s="226"/>
      <c r="JJ142" s="226"/>
      <c r="JK142" s="226"/>
      <c r="JL142" s="226"/>
      <c r="JM142" s="226"/>
      <c r="JN142" s="226"/>
      <c r="JO142" s="226"/>
      <c r="JP142" s="226"/>
      <c r="JQ142" s="226"/>
      <c r="JR142" s="226"/>
      <c r="JS142" s="226"/>
      <c r="JT142" s="226"/>
      <c r="JU142" s="226"/>
      <c r="JV142" s="226"/>
      <c r="JW142" s="226"/>
      <c r="JX142" s="226"/>
      <c r="JY142" s="226"/>
      <c r="JZ142" s="226"/>
      <c r="KA142" s="227"/>
      <c r="KB142" s="228"/>
      <c r="KC142" s="226"/>
      <c r="KD142" s="226"/>
      <c r="KE142" s="226"/>
      <c r="KF142" s="226"/>
      <c r="KG142" s="226"/>
    </row>
    <row r="143" customFormat="false" ht="22.5" hidden="false" customHeight="true" outlineLevel="1" collapsed="false">
      <c r="B143" s="75" t="s">
        <v>399</v>
      </c>
      <c r="C143" s="217" t="s">
        <v>400</v>
      </c>
      <c r="D143" s="244" t="s">
        <v>401</v>
      </c>
      <c r="E143" s="218" t="n">
        <v>2</v>
      </c>
      <c r="F143" s="219" t="n">
        <v>0</v>
      </c>
      <c r="G143" s="220" t="n">
        <f aca="false">E143-F143</f>
        <v>2</v>
      </c>
      <c r="H143" s="221" t="n">
        <v>3</v>
      </c>
      <c r="I143" s="222" t="n">
        <v>6.5</v>
      </c>
      <c r="J143" s="242" t="n">
        <v>46286</v>
      </c>
      <c r="K143" s="243" t="n">
        <v>46288</v>
      </c>
      <c r="L143" s="143" t="n">
        <f aca="false">K143-J143</f>
        <v>2</v>
      </c>
      <c r="M143" s="224" t="n">
        <f aca="false">IFERROR(F143/E143,"")</f>
        <v>0</v>
      </c>
      <c r="N143" s="225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7"/>
      <c r="AK143" s="228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 s="226"/>
      <c r="BI143" s="226"/>
      <c r="BJ143" s="226"/>
      <c r="BK143" s="226"/>
      <c r="BL143" s="226"/>
      <c r="BM143" s="226"/>
      <c r="BN143" s="227"/>
      <c r="BO143" s="228"/>
      <c r="BP143" s="226"/>
      <c r="BQ143" s="226"/>
      <c r="BR143" s="226"/>
      <c r="BS143" s="226"/>
      <c r="BT143" s="226"/>
      <c r="BU143" s="226"/>
      <c r="BV143" s="226"/>
      <c r="BW143" s="226"/>
      <c r="BX143" s="226"/>
      <c r="BY143" s="226"/>
      <c r="BZ143" s="226"/>
      <c r="CA143" s="226"/>
      <c r="CB143" s="226"/>
      <c r="CC143" s="226"/>
      <c r="CD143" s="226"/>
      <c r="CE143" s="226"/>
      <c r="CF143" s="226"/>
      <c r="CG143" s="226"/>
      <c r="CH143" s="226"/>
      <c r="CI143" s="226"/>
      <c r="CJ143" s="226"/>
      <c r="CK143" s="226"/>
      <c r="CL143" s="226"/>
      <c r="CM143" s="226"/>
      <c r="CN143" s="226"/>
      <c r="CO143" s="226"/>
      <c r="CP143" s="226"/>
      <c r="CQ143" s="226"/>
      <c r="CR143" s="226"/>
      <c r="CS143" s="229"/>
      <c r="CT143" s="228"/>
      <c r="CU143" s="226"/>
      <c r="CV143" s="226"/>
      <c r="CW143" s="226"/>
      <c r="CX143" s="226"/>
      <c r="CY143" s="226"/>
      <c r="CZ143" s="226"/>
      <c r="DA143" s="226"/>
      <c r="DB143" s="226"/>
      <c r="DC143" s="226"/>
      <c r="DD143" s="226"/>
      <c r="DE143" s="226"/>
      <c r="DF143" s="226"/>
      <c r="DG143" s="226"/>
      <c r="DH143" s="226"/>
      <c r="DI143" s="226"/>
      <c r="DJ143" s="226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30"/>
      <c r="DV143" s="225"/>
      <c r="DW143" s="226"/>
      <c r="DX143" s="226"/>
      <c r="DY143" s="226"/>
      <c r="DZ143" s="226"/>
      <c r="EA143" s="226"/>
      <c r="EB143" s="226"/>
      <c r="EC143" s="226"/>
      <c r="ED143" s="227"/>
      <c r="EE143" s="228"/>
      <c r="EF143" s="226"/>
      <c r="EG143" s="226"/>
      <c r="EH143" s="226"/>
      <c r="EI143" s="226"/>
      <c r="EJ143" s="226"/>
      <c r="EK143" s="226"/>
      <c r="EL143" s="226"/>
      <c r="EM143" s="226"/>
      <c r="EN143" s="226"/>
      <c r="EO143" s="226"/>
      <c r="EP143" s="226"/>
      <c r="EQ143" s="226"/>
      <c r="ER143" s="226"/>
      <c r="ES143" s="226"/>
      <c r="ET143" s="226"/>
      <c r="EU143" s="226"/>
      <c r="EV143" s="226"/>
      <c r="EW143" s="226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226"/>
      <c r="FH143" s="226"/>
      <c r="FI143" s="227"/>
      <c r="FJ143" s="228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226"/>
      <c r="FU143" s="226"/>
      <c r="FV143" s="226"/>
      <c r="FW143" s="226"/>
      <c r="FX143" s="226"/>
      <c r="FY143" s="226"/>
      <c r="FZ143" s="226"/>
      <c r="GA143" s="226"/>
      <c r="GB143" s="226"/>
      <c r="GC143" s="226"/>
      <c r="GD143" s="226"/>
      <c r="GE143" s="226"/>
      <c r="GF143" s="226"/>
      <c r="GG143" s="226"/>
      <c r="GH143" s="226"/>
      <c r="GI143" s="226"/>
      <c r="GJ143" s="226"/>
      <c r="GK143" s="226"/>
      <c r="GL143" s="226"/>
      <c r="GM143" s="226"/>
      <c r="GN143" s="227"/>
      <c r="GO143" s="228"/>
      <c r="GP143" s="226"/>
      <c r="GQ143" s="226"/>
      <c r="GR143" s="226"/>
      <c r="GS143" s="226"/>
      <c r="GT143" s="226"/>
      <c r="GU143" s="226"/>
      <c r="GV143" s="226"/>
      <c r="GW143" s="226"/>
      <c r="GX143" s="226"/>
      <c r="GY143" s="226"/>
      <c r="GZ143" s="226"/>
      <c r="HA143" s="226"/>
      <c r="HB143" s="226"/>
      <c r="HC143" s="226"/>
      <c r="HD143" s="226"/>
      <c r="HE143" s="226"/>
      <c r="HF143" s="226"/>
      <c r="HG143" s="226"/>
      <c r="HH143" s="226"/>
      <c r="HI143" s="226"/>
      <c r="HJ143" s="226"/>
      <c r="HK143" s="226"/>
      <c r="HL143" s="226"/>
      <c r="HM143" s="226"/>
      <c r="HN143" s="226"/>
      <c r="HO143" s="230"/>
      <c r="HP143" s="225"/>
      <c r="HQ143" s="226"/>
      <c r="HR143" s="227"/>
      <c r="HS143" s="228"/>
      <c r="HT143" s="226"/>
      <c r="HU143" s="226"/>
      <c r="HV143" s="226"/>
      <c r="HW143" s="226"/>
      <c r="HX143" s="226"/>
      <c r="HY143" s="226"/>
      <c r="HZ143" s="226"/>
      <c r="IA143" s="226"/>
      <c r="IB143" s="226"/>
      <c r="IC143" s="226"/>
      <c r="ID143" s="226"/>
      <c r="IE143" s="226"/>
      <c r="IF143" s="226"/>
      <c r="IG143" s="226"/>
      <c r="IH143" s="226"/>
      <c r="II143" s="226"/>
      <c r="IJ143" s="226"/>
      <c r="IK143" s="226"/>
      <c r="IL143" s="226"/>
      <c r="IM143" s="226"/>
      <c r="IN143" s="226"/>
      <c r="IO143" s="226"/>
      <c r="IP143" s="226"/>
      <c r="IQ143" s="226"/>
      <c r="IR143" s="226"/>
      <c r="IS143" s="226"/>
      <c r="IT143" s="226"/>
      <c r="IU143" s="226"/>
      <c r="IV143" s="226"/>
      <c r="IW143" s="227"/>
      <c r="IX143" s="230"/>
      <c r="IY143" s="225"/>
      <c r="IZ143" s="226"/>
      <c r="JA143" s="226"/>
      <c r="JB143" s="226"/>
      <c r="JC143" s="226"/>
      <c r="JD143" s="226"/>
      <c r="JE143" s="226"/>
      <c r="JF143" s="226"/>
      <c r="JG143" s="226"/>
      <c r="JH143" s="226"/>
      <c r="JI143" s="226"/>
      <c r="JJ143" s="226"/>
      <c r="JK143" s="226"/>
      <c r="JL143" s="226"/>
      <c r="JM143" s="226"/>
      <c r="JN143" s="226"/>
      <c r="JO143" s="226"/>
      <c r="JP143" s="226"/>
      <c r="JQ143" s="226"/>
      <c r="JR143" s="226"/>
      <c r="JS143" s="226"/>
      <c r="JT143" s="226"/>
      <c r="JU143" s="226"/>
      <c r="JV143" s="226"/>
      <c r="JW143" s="226"/>
      <c r="JX143" s="226"/>
      <c r="JY143" s="226"/>
      <c r="JZ143" s="226"/>
      <c r="KA143" s="227"/>
      <c r="KB143" s="228"/>
      <c r="KC143" s="226"/>
      <c r="KD143" s="226"/>
      <c r="KE143" s="226"/>
      <c r="KF143" s="226"/>
      <c r="KG143" s="226"/>
    </row>
    <row r="144" customFormat="false" ht="22.5" hidden="false" customHeight="true" outlineLevel="1" collapsed="false">
      <c r="B144" s="75" t="s">
        <v>402</v>
      </c>
      <c r="C144" s="217" t="s">
        <v>403</v>
      </c>
      <c r="D144" s="244" t="s">
        <v>404</v>
      </c>
      <c r="E144" s="218" t="n">
        <v>3</v>
      </c>
      <c r="F144" s="219" t="n">
        <v>0</v>
      </c>
      <c r="G144" s="220" t="n">
        <f aca="false">E144-F144</f>
        <v>3</v>
      </c>
      <c r="H144" s="221" t="n">
        <v>4</v>
      </c>
      <c r="I144" s="222" t="n">
        <v>6.14</v>
      </c>
      <c r="J144" s="242" t="n">
        <v>46293</v>
      </c>
      <c r="K144" s="243" t="n">
        <v>46295</v>
      </c>
      <c r="L144" s="143" t="n">
        <f aca="false">K144-J144</f>
        <v>2</v>
      </c>
      <c r="M144" s="224" t="n">
        <f aca="false">IFERROR(F144/E144,"")</f>
        <v>0</v>
      </c>
      <c r="N144" s="225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7"/>
      <c r="AK144" s="228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 s="226"/>
      <c r="BI144" s="226"/>
      <c r="BJ144" s="226"/>
      <c r="BK144" s="226"/>
      <c r="BL144" s="226"/>
      <c r="BM144" s="226"/>
      <c r="BN144" s="227"/>
      <c r="BO144" s="228"/>
      <c r="BP144" s="226"/>
      <c r="BQ144" s="226"/>
      <c r="BR144" s="226"/>
      <c r="BS144" s="226"/>
      <c r="BT144" s="226"/>
      <c r="BU144" s="226"/>
      <c r="BV144" s="226"/>
      <c r="BW144" s="226"/>
      <c r="BX144" s="226"/>
      <c r="BY144" s="226"/>
      <c r="BZ144" s="226"/>
      <c r="CA144" s="226"/>
      <c r="CB144" s="226"/>
      <c r="CC144" s="226"/>
      <c r="CD144" s="226"/>
      <c r="CE144" s="226"/>
      <c r="CF144" s="226"/>
      <c r="CG144" s="226"/>
      <c r="CH144" s="226"/>
      <c r="CI144" s="226"/>
      <c r="CJ144" s="226"/>
      <c r="CK144" s="226"/>
      <c r="CL144" s="226"/>
      <c r="CM144" s="226"/>
      <c r="CN144" s="226"/>
      <c r="CO144" s="226"/>
      <c r="CP144" s="226"/>
      <c r="CQ144" s="226"/>
      <c r="CR144" s="226"/>
      <c r="CS144" s="229"/>
      <c r="CT144" s="228"/>
      <c r="CU144" s="226"/>
      <c r="CV144" s="226"/>
      <c r="CW144" s="226"/>
      <c r="CX144" s="226"/>
      <c r="CY144" s="226"/>
      <c r="CZ144" s="226"/>
      <c r="DA144" s="226"/>
      <c r="DB144" s="226"/>
      <c r="DC144" s="226"/>
      <c r="DD144" s="226"/>
      <c r="DE144" s="226"/>
      <c r="DF144" s="226"/>
      <c r="DG144" s="226"/>
      <c r="DH144" s="226"/>
      <c r="DI144" s="226"/>
      <c r="DJ144" s="226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30"/>
      <c r="DV144" s="225"/>
      <c r="DW144" s="226"/>
      <c r="DX144" s="226"/>
      <c r="DY144" s="226"/>
      <c r="DZ144" s="226"/>
      <c r="EA144" s="226"/>
      <c r="EB144" s="226"/>
      <c r="EC144" s="226"/>
      <c r="ED144" s="227"/>
      <c r="EE144" s="228"/>
      <c r="EF144" s="226"/>
      <c r="EG144" s="226"/>
      <c r="EH144" s="226"/>
      <c r="EI144" s="226"/>
      <c r="EJ144" s="226"/>
      <c r="EK144" s="226"/>
      <c r="EL144" s="226"/>
      <c r="EM144" s="226"/>
      <c r="EN144" s="226"/>
      <c r="EO144" s="226"/>
      <c r="EP144" s="226"/>
      <c r="EQ144" s="226"/>
      <c r="ER144" s="226"/>
      <c r="ES144" s="226"/>
      <c r="ET144" s="226"/>
      <c r="EU144" s="226"/>
      <c r="EV144" s="226"/>
      <c r="EW144" s="226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226"/>
      <c r="FH144" s="226"/>
      <c r="FI144" s="227"/>
      <c r="FJ144" s="228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226"/>
      <c r="FU144" s="226"/>
      <c r="FV144" s="226"/>
      <c r="FW144" s="226"/>
      <c r="FX144" s="226"/>
      <c r="FY144" s="226"/>
      <c r="FZ144" s="226"/>
      <c r="GA144" s="226"/>
      <c r="GB144" s="226"/>
      <c r="GC144" s="226"/>
      <c r="GD144" s="226"/>
      <c r="GE144" s="226"/>
      <c r="GF144" s="226"/>
      <c r="GG144" s="226"/>
      <c r="GH144" s="226"/>
      <c r="GI144" s="226"/>
      <c r="GJ144" s="226"/>
      <c r="GK144" s="226"/>
      <c r="GL144" s="226"/>
      <c r="GM144" s="226"/>
      <c r="GN144" s="227"/>
      <c r="GO144" s="228"/>
      <c r="GP144" s="226"/>
      <c r="GQ144" s="226"/>
      <c r="GR144" s="226"/>
      <c r="GS144" s="226"/>
      <c r="GT144" s="226"/>
      <c r="GU144" s="226"/>
      <c r="GV144" s="226"/>
      <c r="GW144" s="226"/>
      <c r="GX144" s="226"/>
      <c r="GY144" s="226"/>
      <c r="GZ144" s="226"/>
      <c r="HA144" s="226"/>
      <c r="HB144" s="226"/>
      <c r="HC144" s="226"/>
      <c r="HD144" s="226"/>
      <c r="HE144" s="226"/>
      <c r="HF144" s="226"/>
      <c r="HG144" s="226"/>
      <c r="HH144" s="226"/>
      <c r="HI144" s="226"/>
      <c r="HJ144" s="226"/>
      <c r="HK144" s="226"/>
      <c r="HL144" s="226"/>
      <c r="HM144" s="226"/>
      <c r="HN144" s="226"/>
      <c r="HO144" s="230"/>
      <c r="HP144" s="225"/>
      <c r="HQ144" s="226"/>
      <c r="HR144" s="227"/>
      <c r="HS144" s="228"/>
      <c r="HT144" s="226"/>
      <c r="HU144" s="226"/>
      <c r="HV144" s="226"/>
      <c r="HW144" s="226"/>
      <c r="HX144" s="226"/>
      <c r="HY144" s="226"/>
      <c r="HZ144" s="226"/>
      <c r="IA144" s="226"/>
      <c r="IB144" s="226"/>
      <c r="IC144" s="226"/>
      <c r="ID144" s="226"/>
      <c r="IE144" s="226"/>
      <c r="IF144" s="226"/>
      <c r="IG144" s="226"/>
      <c r="IH144" s="226"/>
      <c r="II144" s="226"/>
      <c r="IJ144" s="226"/>
      <c r="IK144" s="226"/>
      <c r="IL144" s="226"/>
      <c r="IM144" s="226"/>
      <c r="IN144" s="226"/>
      <c r="IO144" s="226"/>
      <c r="IP144" s="226"/>
      <c r="IQ144" s="226"/>
      <c r="IR144" s="226"/>
      <c r="IS144" s="226"/>
      <c r="IT144" s="226"/>
      <c r="IU144" s="226"/>
      <c r="IV144" s="226"/>
      <c r="IW144" s="227"/>
      <c r="IX144" s="230"/>
      <c r="IY144" s="225"/>
      <c r="IZ144" s="226"/>
      <c r="JA144" s="226"/>
      <c r="JB144" s="226"/>
      <c r="JC144" s="226"/>
      <c r="JD144" s="226"/>
      <c r="JE144" s="226"/>
      <c r="JF144" s="226"/>
      <c r="JG144" s="226"/>
      <c r="JH144" s="226"/>
      <c r="JI144" s="226"/>
      <c r="JJ144" s="226"/>
      <c r="JK144" s="226"/>
      <c r="JL144" s="226"/>
      <c r="JM144" s="226"/>
      <c r="JN144" s="226"/>
      <c r="JO144" s="226"/>
      <c r="JP144" s="226"/>
      <c r="JQ144" s="226"/>
      <c r="JR144" s="226"/>
      <c r="JS144" s="226"/>
      <c r="JT144" s="226"/>
      <c r="JU144" s="226"/>
      <c r="JV144" s="226"/>
      <c r="JW144" s="226"/>
      <c r="JX144" s="226"/>
      <c r="JY144" s="226"/>
      <c r="JZ144" s="226"/>
      <c r="KA144" s="227"/>
      <c r="KB144" s="228"/>
      <c r="KC144" s="226"/>
      <c r="KD144" s="226"/>
      <c r="KE144" s="226"/>
      <c r="KF144" s="226"/>
      <c r="KG144" s="226"/>
    </row>
    <row r="145" customFormat="false" ht="22.5" hidden="false" customHeight="true" outlineLevel="1" collapsed="false">
      <c r="B145" s="75" t="s">
        <v>405</v>
      </c>
      <c r="C145" s="217" t="s">
        <v>406</v>
      </c>
      <c r="D145" s="244" t="s">
        <v>73</v>
      </c>
      <c r="E145" s="218" t="n">
        <v>3</v>
      </c>
      <c r="F145" s="219" t="n">
        <v>0</v>
      </c>
      <c r="G145" s="220" t="n">
        <f aca="false">E145-F145</f>
        <v>3</v>
      </c>
      <c r="H145" s="221" t="n">
        <v>5</v>
      </c>
      <c r="I145" s="222" t="s">
        <v>407</v>
      </c>
      <c r="J145" s="242" t="n">
        <v>46291</v>
      </c>
      <c r="K145" s="243" t="n">
        <v>46292</v>
      </c>
      <c r="L145" s="143" t="n">
        <f aca="false">K145-J145</f>
        <v>1</v>
      </c>
      <c r="M145" s="224" t="n">
        <f aca="false">IFERROR(F145/E145,"")</f>
        <v>0</v>
      </c>
      <c r="N145" s="225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7"/>
      <c r="AK145" s="228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 s="226"/>
      <c r="BI145" s="226"/>
      <c r="BJ145" s="226"/>
      <c r="BK145" s="226"/>
      <c r="BL145" s="226"/>
      <c r="BM145" s="226"/>
      <c r="BN145" s="227"/>
      <c r="BO145" s="228"/>
      <c r="BP145" s="226"/>
      <c r="BQ145" s="226"/>
      <c r="BR145" s="226"/>
      <c r="BS145" s="226"/>
      <c r="BT145" s="226"/>
      <c r="BU145" s="226"/>
      <c r="BV145" s="226"/>
      <c r="BW145" s="226"/>
      <c r="BX145" s="226"/>
      <c r="BY145" s="226"/>
      <c r="BZ145" s="226"/>
      <c r="CA145" s="226"/>
      <c r="CB145" s="226"/>
      <c r="CC145" s="226"/>
      <c r="CD145" s="226"/>
      <c r="CE145" s="226"/>
      <c r="CF145" s="226"/>
      <c r="CG145" s="226"/>
      <c r="CH145" s="226"/>
      <c r="CI145" s="226"/>
      <c r="CJ145" s="226"/>
      <c r="CK145" s="226"/>
      <c r="CL145" s="226"/>
      <c r="CM145" s="226"/>
      <c r="CN145" s="226"/>
      <c r="CO145" s="226"/>
      <c r="CP145" s="226"/>
      <c r="CQ145" s="226"/>
      <c r="CR145" s="226"/>
      <c r="CS145" s="229"/>
      <c r="CT145" s="228"/>
      <c r="CU145" s="226"/>
      <c r="CV145" s="226"/>
      <c r="CW145" s="226"/>
      <c r="CX145" s="226"/>
      <c r="CY145" s="226"/>
      <c r="CZ145" s="226"/>
      <c r="DA145" s="226"/>
      <c r="DB145" s="226"/>
      <c r="DC145" s="226"/>
      <c r="DD145" s="226"/>
      <c r="DE145" s="226"/>
      <c r="DF145" s="226"/>
      <c r="DG145" s="226"/>
      <c r="DH145" s="226"/>
      <c r="DI145" s="226"/>
      <c r="DJ145" s="226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30"/>
      <c r="DV145" s="225"/>
      <c r="DW145" s="226"/>
      <c r="DX145" s="226"/>
      <c r="DY145" s="226"/>
      <c r="DZ145" s="226"/>
      <c r="EA145" s="226"/>
      <c r="EB145" s="226"/>
      <c r="EC145" s="226"/>
      <c r="ED145" s="227"/>
      <c r="EE145" s="228"/>
      <c r="EF145" s="226"/>
      <c r="EG145" s="226"/>
      <c r="EH145" s="226"/>
      <c r="EI145" s="226"/>
      <c r="EJ145" s="226"/>
      <c r="EK145" s="226"/>
      <c r="EL145" s="226"/>
      <c r="EM145" s="226"/>
      <c r="EN145" s="226"/>
      <c r="EO145" s="226"/>
      <c r="EP145" s="226"/>
      <c r="EQ145" s="226"/>
      <c r="ER145" s="226"/>
      <c r="ES145" s="226"/>
      <c r="ET145" s="226"/>
      <c r="EU145" s="226"/>
      <c r="EV145" s="226"/>
      <c r="EW145" s="226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226"/>
      <c r="FH145" s="226"/>
      <c r="FI145" s="227"/>
      <c r="FJ145" s="228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226"/>
      <c r="FU145" s="226"/>
      <c r="FV145" s="226"/>
      <c r="FW145" s="226"/>
      <c r="FX145" s="226"/>
      <c r="FY145" s="226"/>
      <c r="FZ145" s="226"/>
      <c r="GA145" s="226"/>
      <c r="GB145" s="226"/>
      <c r="GC145" s="226"/>
      <c r="GD145" s="226"/>
      <c r="GE145" s="226"/>
      <c r="GF145" s="226"/>
      <c r="GG145" s="226"/>
      <c r="GH145" s="226"/>
      <c r="GI145" s="226"/>
      <c r="GJ145" s="226"/>
      <c r="GK145" s="226"/>
      <c r="GL145" s="226"/>
      <c r="GM145" s="226"/>
      <c r="GN145" s="227"/>
      <c r="GO145" s="228"/>
      <c r="GP145" s="226"/>
      <c r="GQ145" s="226"/>
      <c r="GR145" s="226"/>
      <c r="GS145" s="226"/>
      <c r="GT145" s="226"/>
      <c r="GU145" s="226"/>
      <c r="GV145" s="226"/>
      <c r="GW145" s="226"/>
      <c r="GX145" s="226"/>
      <c r="GY145" s="226"/>
      <c r="GZ145" s="226"/>
      <c r="HA145" s="226"/>
      <c r="HB145" s="226"/>
      <c r="HC145" s="226"/>
      <c r="HD145" s="226"/>
      <c r="HE145" s="226"/>
      <c r="HF145" s="226"/>
      <c r="HG145" s="226"/>
      <c r="HH145" s="226"/>
      <c r="HI145" s="226"/>
      <c r="HJ145" s="226"/>
      <c r="HK145" s="226"/>
      <c r="HL145" s="226"/>
      <c r="HM145" s="226"/>
      <c r="HN145" s="226"/>
      <c r="HO145" s="230"/>
      <c r="HP145" s="225"/>
      <c r="HQ145" s="226"/>
      <c r="HR145" s="227"/>
      <c r="HS145" s="228"/>
      <c r="HT145" s="226"/>
      <c r="HU145" s="226"/>
      <c r="HV145" s="226"/>
      <c r="HW145" s="226"/>
      <c r="HX145" s="226"/>
      <c r="HY145" s="226"/>
      <c r="HZ145" s="226"/>
      <c r="IA145" s="226"/>
      <c r="IB145" s="226"/>
      <c r="IC145" s="226"/>
      <c r="ID145" s="226"/>
      <c r="IE145" s="226"/>
      <c r="IF145" s="226"/>
      <c r="IG145" s="226"/>
      <c r="IH145" s="226"/>
      <c r="II145" s="226"/>
      <c r="IJ145" s="226"/>
      <c r="IK145" s="226"/>
      <c r="IL145" s="226"/>
      <c r="IM145" s="226"/>
      <c r="IN145" s="226"/>
      <c r="IO145" s="226"/>
      <c r="IP145" s="226"/>
      <c r="IQ145" s="226"/>
      <c r="IR145" s="226"/>
      <c r="IS145" s="226"/>
      <c r="IT145" s="226"/>
      <c r="IU145" s="226"/>
      <c r="IV145" s="226"/>
      <c r="IW145" s="227"/>
      <c r="IX145" s="230"/>
      <c r="IY145" s="225"/>
      <c r="IZ145" s="226"/>
      <c r="JA145" s="226"/>
      <c r="JB145" s="226"/>
      <c r="JC145" s="226"/>
      <c r="JD145" s="226"/>
      <c r="JE145" s="226"/>
      <c r="JF145" s="226"/>
      <c r="JG145" s="226"/>
      <c r="JH145" s="226"/>
      <c r="JI145" s="226"/>
      <c r="JJ145" s="226"/>
      <c r="JK145" s="226"/>
      <c r="JL145" s="226"/>
      <c r="JM145" s="226"/>
      <c r="JN145" s="226"/>
      <c r="JO145" s="226"/>
      <c r="JP145" s="226"/>
      <c r="JQ145" s="226"/>
      <c r="JR145" s="226"/>
      <c r="JS145" s="226"/>
      <c r="JT145" s="226"/>
      <c r="JU145" s="226"/>
      <c r="JV145" s="226"/>
      <c r="JW145" s="226"/>
      <c r="JX145" s="226"/>
      <c r="JY145" s="226"/>
      <c r="JZ145" s="226"/>
      <c r="KA145" s="227"/>
      <c r="KB145" s="228"/>
      <c r="KC145" s="226"/>
      <c r="KD145" s="226"/>
      <c r="KE145" s="226"/>
      <c r="KF145" s="226"/>
      <c r="KG145" s="226"/>
    </row>
    <row r="146" customFormat="false" ht="22.5" hidden="false" customHeight="true" outlineLevel="1" collapsed="false">
      <c r="B146" s="75" t="s">
        <v>408</v>
      </c>
      <c r="C146" s="245" t="s">
        <v>409</v>
      </c>
      <c r="D146" s="246" t="s">
        <v>234</v>
      </c>
      <c r="E146" s="151" t="n">
        <v>3</v>
      </c>
      <c r="F146" s="152" t="n">
        <v>3</v>
      </c>
      <c r="G146" s="153" t="n">
        <f aca="false">E146-F146</f>
        <v>0</v>
      </c>
      <c r="H146" s="154" t="n">
        <v>5</v>
      </c>
      <c r="I146" s="234" t="n">
        <v>4.25</v>
      </c>
      <c r="J146" s="247" t="n">
        <v>46281</v>
      </c>
      <c r="K146" s="248" t="n">
        <v>46284</v>
      </c>
      <c r="L146" s="156" t="n">
        <f aca="false">K146-J146</f>
        <v>3</v>
      </c>
      <c r="M146" s="249" t="n">
        <f aca="false">IFERROR(F146/E146,"")</f>
        <v>1</v>
      </c>
      <c r="N146" s="225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7"/>
      <c r="AK146" s="228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 s="226"/>
      <c r="BI146" s="226"/>
      <c r="BJ146" s="226"/>
      <c r="BK146" s="226"/>
      <c r="BL146" s="226"/>
      <c r="BM146" s="226"/>
      <c r="BN146" s="227"/>
      <c r="BO146" s="228"/>
      <c r="BP146" s="226"/>
      <c r="BQ146" s="226"/>
      <c r="BR146" s="226"/>
      <c r="BS146" s="226"/>
      <c r="BT146" s="226"/>
      <c r="BU146" s="226"/>
      <c r="BV146" s="226"/>
      <c r="BW146" s="226"/>
      <c r="BX146" s="226"/>
      <c r="BY146" s="226"/>
      <c r="BZ146" s="226"/>
      <c r="CA146" s="226"/>
      <c r="CB146" s="226"/>
      <c r="CC146" s="226"/>
      <c r="CD146" s="226"/>
      <c r="CE146" s="226"/>
      <c r="CF146" s="226"/>
      <c r="CG146" s="226"/>
      <c r="CH146" s="226"/>
      <c r="CI146" s="226"/>
      <c r="CJ146" s="226"/>
      <c r="CK146" s="226"/>
      <c r="CL146" s="226"/>
      <c r="CM146" s="226"/>
      <c r="CN146" s="226"/>
      <c r="CO146" s="226"/>
      <c r="CP146" s="226"/>
      <c r="CQ146" s="226"/>
      <c r="CR146" s="226"/>
      <c r="CS146" s="229"/>
      <c r="CT146" s="228"/>
      <c r="CU146" s="226"/>
      <c r="CV146" s="226"/>
      <c r="CW146" s="226"/>
      <c r="CX146" s="226"/>
      <c r="CY146" s="226"/>
      <c r="CZ146" s="226"/>
      <c r="DA146" s="226"/>
      <c r="DB146" s="226"/>
      <c r="DC146" s="226"/>
      <c r="DD146" s="226"/>
      <c r="DE146" s="226"/>
      <c r="DF146" s="226"/>
      <c r="DG146" s="226"/>
      <c r="DH146" s="226"/>
      <c r="DI146" s="226"/>
      <c r="DJ146" s="226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30"/>
      <c r="DV146" s="225"/>
      <c r="DW146" s="226"/>
      <c r="DX146" s="226"/>
      <c r="DY146" s="226"/>
      <c r="DZ146" s="226"/>
      <c r="EA146" s="226"/>
      <c r="EB146" s="226"/>
      <c r="EC146" s="226"/>
      <c r="ED146" s="227"/>
      <c r="EE146" s="228"/>
      <c r="EF146" s="226"/>
      <c r="EG146" s="226"/>
      <c r="EH146" s="226"/>
      <c r="EI146" s="226"/>
      <c r="EJ146" s="226"/>
      <c r="EK146" s="226"/>
      <c r="EL146" s="226"/>
      <c r="EM146" s="226"/>
      <c r="EN146" s="226"/>
      <c r="EO146" s="226"/>
      <c r="EP146" s="226"/>
      <c r="EQ146" s="226"/>
      <c r="ER146" s="226"/>
      <c r="ES146" s="226"/>
      <c r="ET146" s="226"/>
      <c r="EU146" s="226"/>
      <c r="EV146" s="226"/>
      <c r="EW146" s="226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226"/>
      <c r="FH146" s="226"/>
      <c r="FI146" s="227"/>
      <c r="FJ146" s="228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226"/>
      <c r="FU146" s="226"/>
      <c r="FV146" s="226"/>
      <c r="FW146" s="226"/>
      <c r="FX146" s="226"/>
      <c r="FY146" s="226"/>
      <c r="FZ146" s="226"/>
      <c r="GA146" s="226"/>
      <c r="GB146" s="226"/>
      <c r="GC146" s="226"/>
      <c r="GD146" s="226"/>
      <c r="GE146" s="226"/>
      <c r="GF146" s="226"/>
      <c r="GG146" s="226"/>
      <c r="GH146" s="226"/>
      <c r="GI146" s="226"/>
      <c r="GJ146" s="226"/>
      <c r="GK146" s="226"/>
      <c r="GL146" s="226"/>
      <c r="GM146" s="226"/>
      <c r="GN146" s="227"/>
      <c r="GO146" s="228"/>
      <c r="GP146" s="226"/>
      <c r="GQ146" s="226"/>
      <c r="GR146" s="226"/>
      <c r="GS146" s="226"/>
      <c r="GT146" s="226"/>
      <c r="GU146" s="226"/>
      <c r="GV146" s="226"/>
      <c r="GW146" s="226"/>
      <c r="GX146" s="226"/>
      <c r="GY146" s="226"/>
      <c r="GZ146" s="226"/>
      <c r="HA146" s="226"/>
      <c r="HB146" s="226"/>
      <c r="HC146" s="226"/>
      <c r="HD146" s="226"/>
      <c r="HE146" s="226"/>
      <c r="HF146" s="226"/>
      <c r="HG146" s="226"/>
      <c r="HH146" s="226"/>
      <c r="HI146" s="226"/>
      <c r="HJ146" s="226"/>
      <c r="HK146" s="226"/>
      <c r="HL146" s="226"/>
      <c r="HM146" s="226"/>
      <c r="HN146" s="226"/>
      <c r="HO146" s="230"/>
      <c r="HP146" s="225"/>
      <c r="HQ146" s="226"/>
      <c r="HR146" s="227"/>
      <c r="HS146" s="228"/>
      <c r="HT146" s="226"/>
      <c r="HU146" s="226"/>
      <c r="HV146" s="226"/>
      <c r="HW146" s="226"/>
      <c r="HX146" s="226"/>
      <c r="HY146" s="226"/>
      <c r="HZ146" s="226"/>
      <c r="IA146" s="226"/>
      <c r="IB146" s="226"/>
      <c r="IC146" s="226"/>
      <c r="ID146" s="226"/>
      <c r="IE146" s="226"/>
      <c r="IF146" s="226"/>
      <c r="IG146" s="226"/>
      <c r="IH146" s="226"/>
      <c r="II146" s="226"/>
      <c r="IJ146" s="226"/>
      <c r="IK146" s="226"/>
      <c r="IL146" s="226"/>
      <c r="IM146" s="226"/>
      <c r="IN146" s="226"/>
      <c r="IO146" s="226"/>
      <c r="IP146" s="226"/>
      <c r="IQ146" s="226"/>
      <c r="IR146" s="226"/>
      <c r="IS146" s="226"/>
      <c r="IT146" s="226"/>
      <c r="IU146" s="226"/>
      <c r="IV146" s="226"/>
      <c r="IW146" s="227"/>
      <c r="IX146" s="230"/>
      <c r="IY146" s="225"/>
      <c r="IZ146" s="226"/>
      <c r="JA146" s="226"/>
      <c r="JB146" s="226"/>
      <c r="JC146" s="226"/>
      <c r="JD146" s="226"/>
      <c r="JE146" s="226"/>
      <c r="JF146" s="226"/>
      <c r="JG146" s="226"/>
      <c r="JH146" s="226"/>
      <c r="JI146" s="226"/>
      <c r="JJ146" s="226"/>
      <c r="JK146" s="226"/>
      <c r="JL146" s="226"/>
      <c r="JM146" s="226"/>
      <c r="JN146" s="226"/>
      <c r="JO146" s="226"/>
      <c r="JP146" s="226"/>
      <c r="JQ146" s="226"/>
      <c r="JR146" s="226"/>
      <c r="JS146" s="226"/>
      <c r="JT146" s="226"/>
      <c r="JU146" s="226"/>
      <c r="JV146" s="226"/>
      <c r="JW146" s="226"/>
      <c r="JX146" s="226"/>
      <c r="JY146" s="226"/>
      <c r="JZ146" s="226"/>
      <c r="KA146" s="227"/>
      <c r="KB146" s="228"/>
      <c r="KC146" s="226"/>
      <c r="KD146" s="226"/>
      <c r="KE146" s="226"/>
      <c r="KF146" s="226"/>
      <c r="KG146" s="226"/>
    </row>
    <row r="147" customFormat="false" ht="22.5" hidden="false" customHeight="true" outlineLevel="0" collapsed="false">
      <c r="B147" s="75" t="s">
        <v>410</v>
      </c>
      <c r="C147" s="145" t="s">
        <v>411</v>
      </c>
      <c r="D147" s="58"/>
      <c r="E147" s="115"/>
      <c r="F147" s="116"/>
      <c r="G147" s="117"/>
      <c r="H147" s="146"/>
      <c r="I147" s="241"/>
      <c r="J147" s="120"/>
      <c r="K147" s="121"/>
      <c r="L147" s="66"/>
      <c r="M147" s="215" t="n">
        <f aca="false">IFERROR($F$190/$E$190,"")</f>
        <v>0.30188679245283</v>
      </c>
      <c r="N147" s="68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3"/>
      <c r="AK147" s="73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3"/>
      <c r="BO147" s="73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4"/>
      <c r="CT147" s="73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5"/>
      <c r="DV147" s="68"/>
      <c r="DW147" s="122"/>
      <c r="DX147" s="122"/>
      <c r="DY147" s="122"/>
      <c r="DZ147" s="122"/>
      <c r="EA147" s="122"/>
      <c r="EB147" s="122"/>
      <c r="EC147" s="122"/>
      <c r="ED147" s="123"/>
      <c r="EE147" s="73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3"/>
      <c r="FJ147" s="73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  <c r="GJ147" s="122"/>
      <c r="GK147" s="122"/>
      <c r="GL147" s="122"/>
      <c r="GM147" s="122"/>
      <c r="GN147" s="123"/>
      <c r="GO147" s="73"/>
      <c r="GP147" s="122"/>
      <c r="GQ147" s="122"/>
      <c r="GR147" s="122"/>
      <c r="GS147" s="122"/>
      <c r="GT147" s="122"/>
      <c r="GU147" s="122"/>
      <c r="GV147" s="122"/>
      <c r="GW147" s="122"/>
      <c r="GX147" s="122"/>
      <c r="GY147" s="122"/>
      <c r="GZ147" s="122"/>
      <c r="HA147" s="122"/>
      <c r="HB147" s="122"/>
      <c r="HC147" s="122"/>
      <c r="HD147" s="122"/>
      <c r="HE147" s="122"/>
      <c r="HF147" s="122"/>
      <c r="HG147" s="122"/>
      <c r="HH147" s="122"/>
      <c r="HI147" s="122"/>
      <c r="HJ147" s="122"/>
      <c r="HK147" s="122"/>
      <c r="HL147" s="122"/>
      <c r="HM147" s="122"/>
      <c r="HN147" s="122"/>
      <c r="HO147" s="125"/>
      <c r="HP147" s="68"/>
      <c r="HQ147" s="122"/>
      <c r="HR147" s="123"/>
      <c r="HS147" s="73"/>
      <c r="HT147" s="122"/>
      <c r="HU147" s="122"/>
      <c r="HV147" s="122"/>
      <c r="HW147" s="122"/>
      <c r="HX147" s="122"/>
      <c r="HY147" s="122"/>
      <c r="HZ147" s="122"/>
      <c r="IA147" s="122"/>
      <c r="IB147" s="122"/>
      <c r="IC147" s="122"/>
      <c r="ID147" s="122"/>
      <c r="IE147" s="122"/>
      <c r="IF147" s="122"/>
      <c r="IG147" s="122"/>
      <c r="IH147" s="122"/>
      <c r="II147" s="122"/>
      <c r="IJ147" s="122"/>
      <c r="IK147" s="122"/>
      <c r="IL147" s="122"/>
      <c r="IM147" s="122"/>
      <c r="IN147" s="122"/>
      <c r="IO147" s="122"/>
      <c r="IP147" s="122"/>
      <c r="IQ147" s="122"/>
      <c r="IR147" s="122"/>
      <c r="IS147" s="122"/>
      <c r="IT147" s="122"/>
      <c r="IU147" s="122"/>
      <c r="IV147" s="122"/>
      <c r="IW147" s="123"/>
      <c r="IX147" s="125"/>
      <c r="IY147" s="68"/>
      <c r="IZ147" s="122"/>
      <c r="JA147" s="122"/>
      <c r="JB147" s="122"/>
      <c r="JC147" s="122"/>
      <c r="JD147" s="122"/>
      <c r="JE147" s="122"/>
      <c r="JF147" s="122"/>
      <c r="JG147" s="122"/>
      <c r="JH147" s="122"/>
      <c r="JI147" s="122"/>
      <c r="JJ147" s="122"/>
      <c r="JK147" s="122"/>
      <c r="JL147" s="122"/>
      <c r="JM147" s="122"/>
      <c r="JN147" s="122"/>
      <c r="JO147" s="122"/>
      <c r="JP147" s="122"/>
      <c r="JQ147" s="122"/>
      <c r="JR147" s="122"/>
      <c r="JS147" s="122"/>
      <c r="JT147" s="122"/>
      <c r="JU147" s="122"/>
      <c r="JV147" s="122"/>
      <c r="JW147" s="122"/>
      <c r="JX147" s="122"/>
      <c r="JY147" s="122"/>
      <c r="JZ147" s="122"/>
      <c r="KA147" s="123"/>
      <c r="KB147" s="73"/>
      <c r="KC147" s="122"/>
      <c r="KD147" s="122"/>
      <c r="KE147" s="122"/>
      <c r="KF147" s="122"/>
      <c r="KG147" s="122"/>
    </row>
    <row r="148" customFormat="false" ht="22.5" hidden="false" customHeight="true" outlineLevel="1" collapsed="false">
      <c r="B148" s="75" t="s">
        <v>412</v>
      </c>
      <c r="C148" s="147" t="s">
        <v>413</v>
      </c>
      <c r="D148" s="127" t="s">
        <v>240</v>
      </c>
      <c r="E148" s="128" t="n">
        <v>5</v>
      </c>
      <c r="F148" s="129" t="n">
        <v>5</v>
      </c>
      <c r="G148" s="130" t="n">
        <f aca="false">E148-F148</f>
        <v>0</v>
      </c>
      <c r="H148" s="131" t="n">
        <v>1</v>
      </c>
      <c r="I148" s="216" t="n">
        <v>4.24</v>
      </c>
      <c r="J148" s="133" t="n">
        <v>46296</v>
      </c>
      <c r="K148" s="134" t="n">
        <v>46298</v>
      </c>
      <c r="L148" s="135" t="n">
        <f aca="false">K148-J148</f>
        <v>2</v>
      </c>
      <c r="M148" s="136" t="n">
        <f aca="false">IFERROR(F148/E148,"")</f>
        <v>1</v>
      </c>
      <c r="N148" s="87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9"/>
      <c r="AK148" s="90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  <c r="BD148" s="88"/>
      <c r="BE148" s="88"/>
      <c r="BF148" s="88"/>
      <c r="BG148" s="88"/>
      <c r="BH148" s="88"/>
      <c r="BI148" s="88"/>
      <c r="BJ148" s="88"/>
      <c r="BK148" s="88"/>
      <c r="BL148" s="88"/>
      <c r="BM148" s="88"/>
      <c r="BN148" s="89"/>
      <c r="BO148" s="90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91"/>
      <c r="CT148" s="90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  <c r="DL148" s="88"/>
      <c r="DM148" s="88"/>
      <c r="DN148" s="88"/>
      <c r="DO148" s="88"/>
      <c r="DP148" s="88"/>
      <c r="DQ148" s="88"/>
      <c r="DR148" s="88"/>
      <c r="DS148" s="88"/>
      <c r="DT148" s="88"/>
      <c r="DU148" s="92"/>
      <c r="DV148" s="87"/>
      <c r="DW148" s="88"/>
      <c r="DX148" s="88"/>
      <c r="DY148" s="88"/>
      <c r="DZ148" s="88"/>
      <c r="EA148" s="88"/>
      <c r="EB148" s="88"/>
      <c r="EC148" s="88"/>
      <c r="ED148" s="89"/>
      <c r="EE148" s="90"/>
      <c r="EF148" s="88"/>
      <c r="EG148" s="88"/>
      <c r="EH148" s="88"/>
      <c r="EI148" s="88"/>
      <c r="EJ148" s="88"/>
      <c r="EK148" s="88"/>
      <c r="EL148" s="88"/>
      <c r="EM148" s="88"/>
      <c r="EN148" s="88"/>
      <c r="EO148" s="88"/>
      <c r="EP148" s="88"/>
      <c r="EQ148" s="88"/>
      <c r="ER148" s="88"/>
      <c r="ES148" s="88"/>
      <c r="ET148" s="88"/>
      <c r="EU148" s="88"/>
      <c r="EV148" s="88"/>
      <c r="EW148" s="88"/>
      <c r="EX148" s="88"/>
      <c r="EY148" s="88"/>
      <c r="EZ148" s="88"/>
      <c r="FA148" s="88"/>
      <c r="FB148" s="88"/>
      <c r="FC148" s="88"/>
      <c r="FD148" s="88"/>
      <c r="FE148" s="88"/>
      <c r="FF148" s="88"/>
      <c r="FG148" s="88"/>
      <c r="FH148" s="88"/>
      <c r="FI148" s="89"/>
      <c r="FJ148" s="90"/>
      <c r="FK148" s="88"/>
      <c r="FL148" s="88"/>
      <c r="FM148" s="88"/>
      <c r="FN148" s="88"/>
      <c r="FO148" s="88"/>
      <c r="FP148" s="88"/>
      <c r="FQ148" s="88"/>
      <c r="FR148" s="88"/>
      <c r="FS148" s="88"/>
      <c r="FT148" s="88"/>
      <c r="FU148" s="88"/>
      <c r="FV148" s="88"/>
      <c r="FW148" s="88"/>
      <c r="FX148" s="88"/>
      <c r="FY148" s="88"/>
      <c r="FZ148" s="88"/>
      <c r="GA148" s="88"/>
      <c r="GB148" s="88"/>
      <c r="GC148" s="88"/>
      <c r="GD148" s="88"/>
      <c r="GE148" s="88"/>
      <c r="GF148" s="88"/>
      <c r="GG148" s="88"/>
      <c r="GH148" s="88"/>
      <c r="GI148" s="88"/>
      <c r="GJ148" s="88"/>
      <c r="GK148" s="88"/>
      <c r="GL148" s="88"/>
      <c r="GM148" s="88"/>
      <c r="GN148" s="89"/>
      <c r="GO148" s="90"/>
      <c r="GP148" s="88"/>
      <c r="GQ148" s="88"/>
      <c r="GR148" s="88"/>
      <c r="GS148" s="88"/>
      <c r="GT148" s="88"/>
      <c r="GU148" s="88"/>
      <c r="GV148" s="88"/>
      <c r="GW148" s="88"/>
      <c r="GX148" s="88"/>
      <c r="GY148" s="88"/>
      <c r="GZ148" s="88"/>
      <c r="HA148" s="88"/>
      <c r="HB148" s="88"/>
      <c r="HC148" s="88"/>
      <c r="HD148" s="88"/>
      <c r="HE148" s="88"/>
      <c r="HF148" s="88"/>
      <c r="HG148" s="88"/>
      <c r="HH148" s="88"/>
      <c r="HI148" s="88"/>
      <c r="HJ148" s="88"/>
      <c r="HK148" s="88"/>
      <c r="HL148" s="88"/>
      <c r="HM148" s="88"/>
      <c r="HN148" s="88"/>
      <c r="HO148" s="92"/>
      <c r="HP148" s="87"/>
      <c r="HQ148" s="88"/>
      <c r="HR148" s="89"/>
      <c r="HS148" s="90"/>
      <c r="HT148" s="88"/>
      <c r="HU148" s="88"/>
      <c r="HV148" s="88"/>
      <c r="HW148" s="88"/>
      <c r="HX148" s="88"/>
      <c r="HY148" s="88"/>
      <c r="HZ148" s="88"/>
      <c r="IA148" s="88"/>
      <c r="IB148" s="88"/>
      <c r="IC148" s="88"/>
      <c r="ID148" s="88"/>
      <c r="IE148" s="88"/>
      <c r="IF148" s="88"/>
      <c r="IG148" s="88"/>
      <c r="IH148" s="88"/>
      <c r="II148" s="88"/>
      <c r="IJ148" s="88"/>
      <c r="IK148" s="88"/>
      <c r="IL148" s="88"/>
      <c r="IM148" s="88"/>
      <c r="IN148" s="88"/>
      <c r="IO148" s="88"/>
      <c r="IP148" s="88"/>
      <c r="IQ148" s="88"/>
      <c r="IR148" s="88"/>
      <c r="IS148" s="88"/>
      <c r="IT148" s="88"/>
      <c r="IU148" s="88"/>
      <c r="IV148" s="88"/>
      <c r="IW148" s="89"/>
      <c r="IX148" s="92"/>
      <c r="IY148" s="87"/>
      <c r="IZ148" s="88"/>
      <c r="JA148" s="88"/>
      <c r="JB148" s="88"/>
      <c r="JC148" s="88"/>
      <c r="JD148" s="88"/>
      <c r="JE148" s="88"/>
      <c r="JF148" s="88"/>
      <c r="JG148" s="88"/>
      <c r="JH148" s="88"/>
      <c r="JI148" s="88"/>
      <c r="JJ148" s="88"/>
      <c r="JK148" s="88"/>
      <c r="JL148" s="88"/>
      <c r="JM148" s="88"/>
      <c r="JN148" s="88"/>
      <c r="JO148" s="88"/>
      <c r="JP148" s="88"/>
      <c r="JQ148" s="88"/>
      <c r="JR148" s="88"/>
      <c r="JS148" s="88"/>
      <c r="JT148" s="88"/>
      <c r="JU148" s="88"/>
      <c r="JV148" s="88"/>
      <c r="JW148" s="88"/>
      <c r="JX148" s="88"/>
      <c r="JY148" s="88"/>
      <c r="JZ148" s="88"/>
      <c r="KA148" s="89"/>
      <c r="KB148" s="90"/>
      <c r="KC148" s="88"/>
      <c r="KD148" s="88"/>
      <c r="KE148" s="88"/>
      <c r="KF148" s="88"/>
      <c r="KG148" s="88"/>
    </row>
    <row r="149" customFormat="false" ht="22.5" hidden="false" customHeight="true" outlineLevel="1" collapsed="false">
      <c r="B149" s="75" t="s">
        <v>414</v>
      </c>
      <c r="C149" s="147" t="s">
        <v>415</v>
      </c>
      <c r="D149" s="127" t="s">
        <v>234</v>
      </c>
      <c r="E149" s="139" t="n">
        <v>2</v>
      </c>
      <c r="F149" s="140" t="n">
        <v>2</v>
      </c>
      <c r="G149" s="141" t="n">
        <f aca="false">E149-F149</f>
        <v>0</v>
      </c>
      <c r="H149" s="142" t="n">
        <v>1</v>
      </c>
      <c r="I149" s="166" t="n">
        <v>7.1</v>
      </c>
      <c r="J149" s="149" t="n">
        <v>46298</v>
      </c>
      <c r="K149" s="144" t="n">
        <v>46301</v>
      </c>
      <c r="L149" s="143" t="n">
        <f aca="false">K149-J149</f>
        <v>3</v>
      </c>
      <c r="M149" s="136" t="n">
        <f aca="false">IFERROR(F149/E149,"")</f>
        <v>1</v>
      </c>
      <c r="N149" s="87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9"/>
      <c r="AK149" s="90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  <c r="BD149" s="88"/>
      <c r="BE149" s="88"/>
      <c r="BF149" s="88"/>
      <c r="BG149" s="88"/>
      <c r="BH149" s="88"/>
      <c r="BI149" s="88"/>
      <c r="BJ149" s="88"/>
      <c r="BK149" s="88"/>
      <c r="BL149" s="88"/>
      <c r="BM149" s="88"/>
      <c r="BN149" s="89"/>
      <c r="BO149" s="90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91"/>
      <c r="CT149" s="90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  <c r="DL149" s="88"/>
      <c r="DM149" s="88"/>
      <c r="DN149" s="88"/>
      <c r="DO149" s="88"/>
      <c r="DP149" s="88"/>
      <c r="DQ149" s="88"/>
      <c r="DR149" s="88"/>
      <c r="DS149" s="88"/>
      <c r="DT149" s="88"/>
      <c r="DU149" s="92"/>
      <c r="DV149" s="87"/>
      <c r="DW149" s="88"/>
      <c r="DX149" s="88"/>
      <c r="DY149" s="88"/>
      <c r="DZ149" s="88"/>
      <c r="EA149" s="88"/>
      <c r="EB149" s="88"/>
      <c r="EC149" s="88"/>
      <c r="ED149" s="89"/>
      <c r="EE149" s="90"/>
      <c r="EF149" s="88"/>
      <c r="EG149" s="88"/>
      <c r="EH149" s="88"/>
      <c r="EI149" s="88"/>
      <c r="EJ149" s="88"/>
      <c r="EK149" s="88"/>
      <c r="EL149" s="88"/>
      <c r="EM149" s="88"/>
      <c r="EN149" s="88"/>
      <c r="EO149" s="88"/>
      <c r="EP149" s="88"/>
      <c r="EQ149" s="88"/>
      <c r="ER149" s="88"/>
      <c r="ES149" s="88"/>
      <c r="ET149" s="88"/>
      <c r="EU149" s="88"/>
      <c r="EV149" s="88"/>
      <c r="EW149" s="88"/>
      <c r="EX149" s="88"/>
      <c r="EY149" s="88"/>
      <c r="EZ149" s="88"/>
      <c r="FA149" s="88"/>
      <c r="FB149" s="88"/>
      <c r="FC149" s="88"/>
      <c r="FD149" s="88"/>
      <c r="FE149" s="88"/>
      <c r="FF149" s="88"/>
      <c r="FG149" s="88"/>
      <c r="FH149" s="88"/>
      <c r="FI149" s="89"/>
      <c r="FJ149" s="90"/>
      <c r="FK149" s="88"/>
      <c r="FL149" s="88"/>
      <c r="FM149" s="88"/>
      <c r="FN149" s="88"/>
      <c r="FO149" s="88"/>
      <c r="FP149" s="88"/>
      <c r="FQ149" s="88"/>
      <c r="FR149" s="88"/>
      <c r="FS149" s="88"/>
      <c r="FT149" s="88"/>
      <c r="FU149" s="88"/>
      <c r="FV149" s="88"/>
      <c r="FW149" s="88"/>
      <c r="FX149" s="88"/>
      <c r="FY149" s="88"/>
      <c r="FZ149" s="88"/>
      <c r="GA149" s="88"/>
      <c r="GB149" s="88"/>
      <c r="GC149" s="88"/>
      <c r="GD149" s="88"/>
      <c r="GE149" s="88"/>
      <c r="GF149" s="88"/>
      <c r="GG149" s="88"/>
      <c r="GH149" s="88"/>
      <c r="GI149" s="88"/>
      <c r="GJ149" s="88"/>
      <c r="GK149" s="88"/>
      <c r="GL149" s="88"/>
      <c r="GM149" s="88"/>
      <c r="GN149" s="89"/>
      <c r="GO149" s="90"/>
      <c r="GP149" s="88"/>
      <c r="GQ149" s="88"/>
      <c r="GR149" s="88"/>
      <c r="GS149" s="88"/>
      <c r="GT149" s="88"/>
      <c r="GU149" s="88"/>
      <c r="GV149" s="88"/>
      <c r="GW149" s="88"/>
      <c r="GX149" s="88"/>
      <c r="GY149" s="88"/>
      <c r="GZ149" s="88"/>
      <c r="HA149" s="88"/>
      <c r="HB149" s="88"/>
      <c r="HC149" s="88"/>
      <c r="HD149" s="88"/>
      <c r="HE149" s="88"/>
      <c r="HF149" s="88"/>
      <c r="HG149" s="88"/>
      <c r="HH149" s="88"/>
      <c r="HI149" s="88"/>
      <c r="HJ149" s="88"/>
      <c r="HK149" s="88"/>
      <c r="HL149" s="88"/>
      <c r="HM149" s="88"/>
      <c r="HN149" s="88"/>
      <c r="HO149" s="92"/>
      <c r="HP149" s="87"/>
      <c r="HQ149" s="88"/>
      <c r="HR149" s="89"/>
      <c r="HS149" s="90"/>
      <c r="HT149" s="88"/>
      <c r="HU149" s="88"/>
      <c r="HV149" s="88"/>
      <c r="HW149" s="88"/>
      <c r="HX149" s="88"/>
      <c r="HY149" s="88"/>
      <c r="HZ149" s="88"/>
      <c r="IA149" s="88"/>
      <c r="IB149" s="88"/>
      <c r="IC149" s="88"/>
      <c r="ID149" s="88"/>
      <c r="IE149" s="88"/>
      <c r="IF149" s="88"/>
      <c r="IG149" s="88"/>
      <c r="IH149" s="88"/>
      <c r="II149" s="88"/>
      <c r="IJ149" s="88"/>
      <c r="IK149" s="88"/>
      <c r="IL149" s="88"/>
      <c r="IM149" s="88"/>
      <c r="IN149" s="88"/>
      <c r="IO149" s="88"/>
      <c r="IP149" s="88"/>
      <c r="IQ149" s="88"/>
      <c r="IR149" s="88"/>
      <c r="IS149" s="88"/>
      <c r="IT149" s="88"/>
      <c r="IU149" s="88"/>
      <c r="IV149" s="88"/>
      <c r="IW149" s="89"/>
      <c r="IX149" s="92"/>
      <c r="IY149" s="87"/>
      <c r="IZ149" s="88"/>
      <c r="JA149" s="88"/>
      <c r="JB149" s="88"/>
      <c r="JC149" s="88"/>
      <c r="JD149" s="88"/>
      <c r="JE149" s="88"/>
      <c r="JF149" s="88"/>
      <c r="JG149" s="88"/>
      <c r="JH149" s="88"/>
      <c r="JI149" s="88"/>
      <c r="JJ149" s="88"/>
      <c r="JK149" s="88"/>
      <c r="JL149" s="88"/>
      <c r="JM149" s="88"/>
      <c r="JN149" s="88"/>
      <c r="JO149" s="88"/>
      <c r="JP149" s="88"/>
      <c r="JQ149" s="88"/>
      <c r="JR149" s="88"/>
      <c r="JS149" s="88"/>
      <c r="JT149" s="88"/>
      <c r="JU149" s="88"/>
      <c r="JV149" s="88"/>
      <c r="JW149" s="88"/>
      <c r="JX149" s="88"/>
      <c r="JY149" s="88"/>
      <c r="JZ149" s="88"/>
      <c r="KA149" s="89"/>
      <c r="KB149" s="90"/>
      <c r="KC149" s="88"/>
      <c r="KD149" s="88"/>
      <c r="KE149" s="88"/>
      <c r="KF149" s="88"/>
      <c r="KG149" s="88"/>
    </row>
    <row r="150" customFormat="false" ht="22.5" hidden="false" customHeight="true" outlineLevel="1" collapsed="false">
      <c r="B150" s="75" t="s">
        <v>416</v>
      </c>
      <c r="C150" s="217" t="s">
        <v>417</v>
      </c>
      <c r="D150" s="127" t="s">
        <v>418</v>
      </c>
      <c r="E150" s="218" t="n">
        <v>6</v>
      </c>
      <c r="F150" s="219" t="n">
        <v>3</v>
      </c>
      <c r="G150" s="220" t="n">
        <f aca="false">E150-F150</f>
        <v>3</v>
      </c>
      <c r="H150" s="221" t="n">
        <v>1</v>
      </c>
      <c r="I150" s="222" t="n">
        <v>7.2</v>
      </c>
      <c r="J150" s="149" t="n">
        <v>46301</v>
      </c>
      <c r="K150" s="144" t="n">
        <v>46303</v>
      </c>
      <c r="L150" s="143" t="n">
        <f aca="false">K150-J150</f>
        <v>2</v>
      </c>
      <c r="M150" s="223" t="n">
        <f aca="false">IFERROR(F150/E150,"")</f>
        <v>0.5</v>
      </c>
      <c r="N150" s="87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9"/>
      <c r="AK150" s="90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9"/>
      <c r="BO150" s="90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91"/>
      <c r="CT150" s="90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92"/>
      <c r="DV150" s="87"/>
      <c r="DW150" s="88"/>
      <c r="DX150" s="88"/>
      <c r="DY150" s="88"/>
      <c r="DZ150" s="88"/>
      <c r="EA150" s="88"/>
      <c r="EB150" s="88"/>
      <c r="EC150" s="88"/>
      <c r="ED150" s="89"/>
      <c r="EE150" s="90"/>
      <c r="EF150" s="88"/>
      <c r="EG150" s="88"/>
      <c r="EH150" s="88"/>
      <c r="EI150" s="88"/>
      <c r="EJ150" s="88"/>
      <c r="EK150" s="88"/>
      <c r="EL150" s="88"/>
      <c r="EM150" s="88"/>
      <c r="EN150" s="88"/>
      <c r="EO150" s="88"/>
      <c r="EP150" s="88"/>
      <c r="EQ150" s="88"/>
      <c r="ER150" s="88"/>
      <c r="ES150" s="88"/>
      <c r="ET150" s="88"/>
      <c r="EU150" s="88"/>
      <c r="EV150" s="88"/>
      <c r="EW150" s="88"/>
      <c r="EX150" s="88"/>
      <c r="EY150" s="88"/>
      <c r="EZ150" s="88"/>
      <c r="FA150" s="88"/>
      <c r="FB150" s="88"/>
      <c r="FC150" s="88"/>
      <c r="FD150" s="88"/>
      <c r="FE150" s="88"/>
      <c r="FF150" s="88"/>
      <c r="FG150" s="88"/>
      <c r="FH150" s="88"/>
      <c r="FI150" s="89"/>
      <c r="FJ150" s="90"/>
      <c r="FK150" s="88"/>
      <c r="FL150" s="88"/>
      <c r="FM150" s="88"/>
      <c r="FN150" s="88"/>
      <c r="FO150" s="88"/>
      <c r="FP150" s="88"/>
      <c r="FQ150" s="88"/>
      <c r="FR150" s="88"/>
      <c r="FS150" s="88"/>
      <c r="FT150" s="88"/>
      <c r="FU150" s="88"/>
      <c r="FV150" s="88"/>
      <c r="FW150" s="88"/>
      <c r="FX150" s="88"/>
      <c r="FY150" s="88"/>
      <c r="FZ150" s="88"/>
      <c r="GA150" s="88"/>
      <c r="GB150" s="88"/>
      <c r="GC150" s="88"/>
      <c r="GD150" s="88"/>
      <c r="GE150" s="88"/>
      <c r="GF150" s="88"/>
      <c r="GG150" s="88"/>
      <c r="GH150" s="88"/>
      <c r="GI150" s="88"/>
      <c r="GJ150" s="88"/>
      <c r="GK150" s="88"/>
      <c r="GL150" s="88"/>
      <c r="GM150" s="88"/>
      <c r="GN150" s="89"/>
      <c r="GO150" s="90"/>
      <c r="GP150" s="88"/>
      <c r="GQ150" s="88"/>
      <c r="GR150" s="88"/>
      <c r="GS150" s="88"/>
      <c r="GT150" s="88"/>
      <c r="GU150" s="88"/>
      <c r="GV150" s="88"/>
      <c r="GW150" s="88"/>
      <c r="GX150" s="88"/>
      <c r="GY150" s="88"/>
      <c r="GZ150" s="88"/>
      <c r="HA150" s="88"/>
      <c r="HB150" s="88"/>
      <c r="HC150" s="88"/>
      <c r="HD150" s="88"/>
      <c r="HE150" s="88"/>
      <c r="HF150" s="88"/>
      <c r="HG150" s="88"/>
      <c r="HH150" s="88"/>
      <c r="HI150" s="88"/>
      <c r="HJ150" s="88"/>
      <c r="HK150" s="88"/>
      <c r="HL150" s="88"/>
      <c r="HM150" s="88"/>
      <c r="HN150" s="88"/>
      <c r="HO150" s="92"/>
      <c r="HP150" s="87"/>
      <c r="HQ150" s="88"/>
      <c r="HR150" s="89"/>
      <c r="HS150" s="90"/>
      <c r="HT150" s="88"/>
      <c r="HU150" s="88"/>
      <c r="HV150" s="88"/>
      <c r="HW150" s="88"/>
      <c r="HX150" s="88"/>
      <c r="HY150" s="88"/>
      <c r="HZ150" s="88"/>
      <c r="IA150" s="88"/>
      <c r="IB150" s="88"/>
      <c r="IC150" s="88"/>
      <c r="ID150" s="88"/>
      <c r="IE150" s="88"/>
      <c r="IF150" s="88"/>
      <c r="IG150" s="88"/>
      <c r="IH150" s="88"/>
      <c r="II150" s="88"/>
      <c r="IJ150" s="88"/>
      <c r="IK150" s="88"/>
      <c r="IL150" s="88"/>
      <c r="IM150" s="88"/>
      <c r="IN150" s="88"/>
      <c r="IO150" s="88"/>
      <c r="IP150" s="88"/>
      <c r="IQ150" s="88"/>
      <c r="IR150" s="88"/>
      <c r="IS150" s="88"/>
      <c r="IT150" s="88"/>
      <c r="IU150" s="88"/>
      <c r="IV150" s="88"/>
      <c r="IW150" s="89"/>
      <c r="IX150" s="92"/>
      <c r="IY150" s="87"/>
      <c r="IZ150" s="88"/>
      <c r="JA150" s="88"/>
      <c r="JB150" s="88"/>
      <c r="JC150" s="88"/>
      <c r="JD150" s="88"/>
      <c r="JE150" s="88"/>
      <c r="JF150" s="88"/>
      <c r="JG150" s="88"/>
      <c r="JH150" s="88"/>
      <c r="JI150" s="88"/>
      <c r="JJ150" s="88"/>
      <c r="JK150" s="88"/>
      <c r="JL150" s="88"/>
      <c r="JM150" s="88"/>
      <c r="JN150" s="88"/>
      <c r="JO150" s="88"/>
      <c r="JP150" s="88"/>
      <c r="JQ150" s="88"/>
      <c r="JR150" s="88"/>
      <c r="JS150" s="88"/>
      <c r="JT150" s="88"/>
      <c r="JU150" s="88"/>
      <c r="JV150" s="88"/>
      <c r="JW150" s="88"/>
      <c r="JX150" s="88"/>
      <c r="JY150" s="88"/>
      <c r="JZ150" s="88"/>
      <c r="KA150" s="89"/>
      <c r="KB150" s="90"/>
      <c r="KC150" s="88"/>
      <c r="KD150" s="88"/>
      <c r="KE150" s="88"/>
      <c r="KF150" s="88"/>
      <c r="KG150" s="88"/>
    </row>
    <row r="151" customFormat="false" ht="22.5" hidden="false" customHeight="true" outlineLevel="1" collapsed="false">
      <c r="B151" s="75" t="s">
        <v>419</v>
      </c>
      <c r="C151" s="217" t="s">
        <v>420</v>
      </c>
      <c r="D151" s="127" t="s">
        <v>418</v>
      </c>
      <c r="E151" s="218" t="n">
        <v>6</v>
      </c>
      <c r="F151" s="219" t="n">
        <v>3</v>
      </c>
      <c r="G151" s="220" t="n">
        <f aca="false">E151-F151</f>
        <v>3</v>
      </c>
      <c r="H151" s="221" t="n">
        <v>1</v>
      </c>
      <c r="I151" s="222" t="n">
        <v>7.3</v>
      </c>
      <c r="J151" s="149" t="n">
        <v>46303</v>
      </c>
      <c r="K151" s="144" t="n">
        <v>46304</v>
      </c>
      <c r="L151" s="143" t="n">
        <f aca="false">K151-J151</f>
        <v>1</v>
      </c>
      <c r="M151" s="224" t="n">
        <f aca="false">IFERROR(F151/E151,"")</f>
        <v>0.5</v>
      </c>
      <c r="N151" s="87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9"/>
      <c r="AK151" s="90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  <c r="BD151" s="88"/>
      <c r="BE151" s="88"/>
      <c r="BF151" s="88"/>
      <c r="BG151" s="88"/>
      <c r="BH151" s="88"/>
      <c r="BI151" s="88"/>
      <c r="BJ151" s="88"/>
      <c r="BK151" s="88"/>
      <c r="BL151" s="88"/>
      <c r="BM151" s="88"/>
      <c r="BN151" s="89"/>
      <c r="BO151" s="90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91"/>
      <c r="CT151" s="90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  <c r="DL151" s="88"/>
      <c r="DM151" s="88"/>
      <c r="DN151" s="88"/>
      <c r="DO151" s="88"/>
      <c r="DP151" s="88"/>
      <c r="DQ151" s="88"/>
      <c r="DR151" s="88"/>
      <c r="DS151" s="88"/>
      <c r="DT151" s="88"/>
      <c r="DU151" s="92"/>
      <c r="DV151" s="87"/>
      <c r="DW151" s="88"/>
      <c r="DX151" s="88"/>
      <c r="DY151" s="88"/>
      <c r="DZ151" s="88"/>
      <c r="EA151" s="88"/>
      <c r="EB151" s="88"/>
      <c r="EC151" s="88"/>
      <c r="ED151" s="89"/>
      <c r="EE151" s="90"/>
      <c r="EF151" s="88"/>
      <c r="EG151" s="88"/>
      <c r="EH151" s="88"/>
      <c r="EI151" s="88"/>
      <c r="EJ151" s="88"/>
      <c r="EK151" s="88"/>
      <c r="EL151" s="88"/>
      <c r="EM151" s="88"/>
      <c r="EN151" s="88"/>
      <c r="EO151" s="88"/>
      <c r="EP151" s="88"/>
      <c r="EQ151" s="88"/>
      <c r="ER151" s="88"/>
      <c r="ES151" s="88"/>
      <c r="ET151" s="88"/>
      <c r="EU151" s="88"/>
      <c r="EV151" s="88"/>
      <c r="EW151" s="88"/>
      <c r="EX151" s="88"/>
      <c r="EY151" s="88"/>
      <c r="EZ151" s="88"/>
      <c r="FA151" s="88"/>
      <c r="FB151" s="88"/>
      <c r="FC151" s="88"/>
      <c r="FD151" s="88"/>
      <c r="FE151" s="88"/>
      <c r="FF151" s="88"/>
      <c r="FG151" s="88"/>
      <c r="FH151" s="88"/>
      <c r="FI151" s="89"/>
      <c r="FJ151" s="90"/>
      <c r="FK151" s="88"/>
      <c r="FL151" s="88"/>
      <c r="FM151" s="88"/>
      <c r="FN151" s="88"/>
      <c r="FO151" s="88"/>
      <c r="FP151" s="88"/>
      <c r="FQ151" s="88"/>
      <c r="FR151" s="88"/>
      <c r="FS151" s="88"/>
      <c r="FT151" s="88"/>
      <c r="FU151" s="88"/>
      <c r="FV151" s="88"/>
      <c r="FW151" s="88"/>
      <c r="FX151" s="88"/>
      <c r="FY151" s="88"/>
      <c r="FZ151" s="88"/>
      <c r="GA151" s="88"/>
      <c r="GB151" s="88"/>
      <c r="GC151" s="88"/>
      <c r="GD151" s="88"/>
      <c r="GE151" s="88"/>
      <c r="GF151" s="88"/>
      <c r="GG151" s="88"/>
      <c r="GH151" s="88"/>
      <c r="GI151" s="88"/>
      <c r="GJ151" s="88"/>
      <c r="GK151" s="88"/>
      <c r="GL151" s="88"/>
      <c r="GM151" s="88"/>
      <c r="GN151" s="89"/>
      <c r="GO151" s="90"/>
      <c r="GP151" s="88"/>
      <c r="GQ151" s="88"/>
      <c r="GR151" s="88"/>
      <c r="GS151" s="88"/>
      <c r="GT151" s="88"/>
      <c r="GU151" s="88"/>
      <c r="GV151" s="88"/>
      <c r="GW151" s="88"/>
      <c r="GX151" s="88"/>
      <c r="GY151" s="88"/>
      <c r="GZ151" s="88"/>
      <c r="HA151" s="88"/>
      <c r="HB151" s="88"/>
      <c r="HC151" s="88"/>
      <c r="HD151" s="88"/>
      <c r="HE151" s="88"/>
      <c r="HF151" s="88"/>
      <c r="HG151" s="88"/>
      <c r="HH151" s="88"/>
      <c r="HI151" s="88"/>
      <c r="HJ151" s="88"/>
      <c r="HK151" s="88"/>
      <c r="HL151" s="88"/>
      <c r="HM151" s="88"/>
      <c r="HN151" s="88"/>
      <c r="HO151" s="92"/>
      <c r="HP151" s="87"/>
      <c r="HQ151" s="88"/>
      <c r="HR151" s="89"/>
      <c r="HS151" s="90"/>
      <c r="HT151" s="88"/>
      <c r="HU151" s="88"/>
      <c r="HV151" s="88"/>
      <c r="HW151" s="88"/>
      <c r="HX151" s="88"/>
      <c r="HY151" s="88"/>
      <c r="HZ151" s="88"/>
      <c r="IA151" s="88"/>
      <c r="IB151" s="88"/>
      <c r="IC151" s="88"/>
      <c r="ID151" s="88"/>
      <c r="IE151" s="88"/>
      <c r="IF151" s="88"/>
      <c r="IG151" s="88"/>
      <c r="IH151" s="88"/>
      <c r="II151" s="88"/>
      <c r="IJ151" s="88"/>
      <c r="IK151" s="88"/>
      <c r="IL151" s="88"/>
      <c r="IM151" s="88"/>
      <c r="IN151" s="88"/>
      <c r="IO151" s="88"/>
      <c r="IP151" s="88"/>
      <c r="IQ151" s="88"/>
      <c r="IR151" s="88"/>
      <c r="IS151" s="88"/>
      <c r="IT151" s="88"/>
      <c r="IU151" s="88"/>
      <c r="IV151" s="88"/>
      <c r="IW151" s="89"/>
      <c r="IX151" s="92"/>
      <c r="IY151" s="87"/>
      <c r="IZ151" s="88"/>
      <c r="JA151" s="88"/>
      <c r="JB151" s="88"/>
      <c r="JC151" s="88"/>
      <c r="JD151" s="88"/>
      <c r="JE151" s="88"/>
      <c r="JF151" s="88"/>
      <c r="JG151" s="88"/>
      <c r="JH151" s="88"/>
      <c r="JI151" s="88"/>
      <c r="JJ151" s="88"/>
      <c r="JK151" s="88"/>
      <c r="JL151" s="88"/>
      <c r="JM151" s="88"/>
      <c r="JN151" s="88"/>
      <c r="JO151" s="88"/>
      <c r="JP151" s="88"/>
      <c r="JQ151" s="88"/>
      <c r="JR151" s="88"/>
      <c r="JS151" s="88"/>
      <c r="JT151" s="88"/>
      <c r="JU151" s="88"/>
      <c r="JV151" s="88"/>
      <c r="JW151" s="88"/>
      <c r="JX151" s="88"/>
      <c r="JY151" s="88"/>
      <c r="JZ151" s="88"/>
      <c r="KA151" s="89"/>
      <c r="KB151" s="90"/>
      <c r="KC151" s="88"/>
      <c r="KD151" s="88"/>
      <c r="KE151" s="88"/>
      <c r="KF151" s="88"/>
      <c r="KG151" s="88"/>
    </row>
    <row r="152" customFormat="false" ht="22.5" hidden="false" customHeight="true" outlineLevel="1" collapsed="false">
      <c r="B152" s="75" t="s">
        <v>421</v>
      </c>
      <c r="C152" s="217" t="s">
        <v>422</v>
      </c>
      <c r="D152" s="127" t="s">
        <v>250</v>
      </c>
      <c r="E152" s="218" t="n">
        <v>6</v>
      </c>
      <c r="F152" s="219" t="n">
        <v>3</v>
      </c>
      <c r="G152" s="220" t="n">
        <f aca="false">E152-F152</f>
        <v>3</v>
      </c>
      <c r="H152" s="221" t="n">
        <v>2</v>
      </c>
      <c r="I152" s="222" t="n">
        <v>7.4</v>
      </c>
      <c r="J152" s="149" t="n">
        <v>46304</v>
      </c>
      <c r="K152" s="144" t="n">
        <v>46306</v>
      </c>
      <c r="L152" s="143" t="n">
        <f aca="false">K152-J152</f>
        <v>2</v>
      </c>
      <c r="M152" s="224" t="n">
        <f aca="false">IFERROR(F152/E152,"")</f>
        <v>0.5</v>
      </c>
      <c r="N152" s="87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9"/>
      <c r="AK152" s="90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  <c r="BD152" s="88"/>
      <c r="BE152" s="88"/>
      <c r="BF152" s="88"/>
      <c r="BG152" s="88"/>
      <c r="BH152" s="88"/>
      <c r="BI152" s="88"/>
      <c r="BJ152" s="88"/>
      <c r="BK152" s="88"/>
      <c r="BL152" s="88"/>
      <c r="BM152" s="88"/>
      <c r="BN152" s="89"/>
      <c r="BO152" s="90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91"/>
      <c r="CT152" s="90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  <c r="DL152" s="88"/>
      <c r="DM152" s="88"/>
      <c r="DN152" s="88"/>
      <c r="DO152" s="88"/>
      <c r="DP152" s="88"/>
      <c r="DQ152" s="88"/>
      <c r="DR152" s="88"/>
      <c r="DS152" s="88"/>
      <c r="DT152" s="88"/>
      <c r="DU152" s="92"/>
      <c r="DV152" s="87"/>
      <c r="DW152" s="88"/>
      <c r="DX152" s="88"/>
      <c r="DY152" s="88"/>
      <c r="DZ152" s="88"/>
      <c r="EA152" s="88"/>
      <c r="EB152" s="88"/>
      <c r="EC152" s="88"/>
      <c r="ED152" s="89"/>
      <c r="EE152" s="90"/>
      <c r="EF152" s="88"/>
      <c r="EG152" s="88"/>
      <c r="EH152" s="88"/>
      <c r="EI152" s="88"/>
      <c r="EJ152" s="88"/>
      <c r="EK152" s="88"/>
      <c r="EL152" s="88"/>
      <c r="EM152" s="88"/>
      <c r="EN152" s="88"/>
      <c r="EO152" s="88"/>
      <c r="EP152" s="88"/>
      <c r="EQ152" s="88"/>
      <c r="ER152" s="88"/>
      <c r="ES152" s="88"/>
      <c r="ET152" s="88"/>
      <c r="EU152" s="88"/>
      <c r="EV152" s="88"/>
      <c r="EW152" s="88"/>
      <c r="EX152" s="88"/>
      <c r="EY152" s="88"/>
      <c r="EZ152" s="88"/>
      <c r="FA152" s="88"/>
      <c r="FB152" s="88"/>
      <c r="FC152" s="88"/>
      <c r="FD152" s="88"/>
      <c r="FE152" s="88"/>
      <c r="FF152" s="88"/>
      <c r="FG152" s="88"/>
      <c r="FH152" s="88"/>
      <c r="FI152" s="89"/>
      <c r="FJ152" s="90"/>
      <c r="FK152" s="88"/>
      <c r="FL152" s="88"/>
      <c r="FM152" s="88"/>
      <c r="FN152" s="88"/>
      <c r="FO152" s="88"/>
      <c r="FP152" s="88"/>
      <c r="FQ152" s="88"/>
      <c r="FR152" s="88"/>
      <c r="FS152" s="88"/>
      <c r="FT152" s="88"/>
      <c r="FU152" s="88"/>
      <c r="FV152" s="88"/>
      <c r="FW152" s="88"/>
      <c r="FX152" s="88"/>
      <c r="FY152" s="88"/>
      <c r="FZ152" s="88"/>
      <c r="GA152" s="88"/>
      <c r="GB152" s="88"/>
      <c r="GC152" s="88"/>
      <c r="GD152" s="88"/>
      <c r="GE152" s="88"/>
      <c r="GF152" s="88"/>
      <c r="GG152" s="88"/>
      <c r="GH152" s="88"/>
      <c r="GI152" s="88"/>
      <c r="GJ152" s="88"/>
      <c r="GK152" s="88"/>
      <c r="GL152" s="88"/>
      <c r="GM152" s="88"/>
      <c r="GN152" s="89"/>
      <c r="GO152" s="90"/>
      <c r="GP152" s="88"/>
      <c r="GQ152" s="88"/>
      <c r="GR152" s="88"/>
      <c r="GS152" s="88"/>
      <c r="GT152" s="88"/>
      <c r="GU152" s="88"/>
      <c r="GV152" s="88"/>
      <c r="GW152" s="88"/>
      <c r="GX152" s="88"/>
      <c r="GY152" s="88"/>
      <c r="GZ152" s="88"/>
      <c r="HA152" s="88"/>
      <c r="HB152" s="88"/>
      <c r="HC152" s="88"/>
      <c r="HD152" s="88"/>
      <c r="HE152" s="88"/>
      <c r="HF152" s="88"/>
      <c r="HG152" s="88"/>
      <c r="HH152" s="88"/>
      <c r="HI152" s="88"/>
      <c r="HJ152" s="88"/>
      <c r="HK152" s="88"/>
      <c r="HL152" s="88"/>
      <c r="HM152" s="88"/>
      <c r="HN152" s="88"/>
      <c r="HO152" s="92"/>
      <c r="HP152" s="87"/>
      <c r="HQ152" s="88"/>
      <c r="HR152" s="89"/>
      <c r="HS152" s="90"/>
      <c r="HT152" s="88"/>
      <c r="HU152" s="88"/>
      <c r="HV152" s="88"/>
      <c r="HW152" s="88"/>
      <c r="HX152" s="88"/>
      <c r="HY152" s="88"/>
      <c r="HZ152" s="88"/>
      <c r="IA152" s="88"/>
      <c r="IB152" s="88"/>
      <c r="IC152" s="88"/>
      <c r="ID152" s="88"/>
      <c r="IE152" s="88"/>
      <c r="IF152" s="88"/>
      <c r="IG152" s="88"/>
      <c r="IH152" s="88"/>
      <c r="II152" s="88"/>
      <c r="IJ152" s="88"/>
      <c r="IK152" s="88"/>
      <c r="IL152" s="88"/>
      <c r="IM152" s="88"/>
      <c r="IN152" s="88"/>
      <c r="IO152" s="88"/>
      <c r="IP152" s="88"/>
      <c r="IQ152" s="88"/>
      <c r="IR152" s="88"/>
      <c r="IS152" s="88"/>
      <c r="IT152" s="88"/>
      <c r="IU152" s="88"/>
      <c r="IV152" s="88"/>
      <c r="IW152" s="89"/>
      <c r="IX152" s="92"/>
      <c r="IY152" s="87"/>
      <c r="IZ152" s="88"/>
      <c r="JA152" s="88"/>
      <c r="JB152" s="88"/>
      <c r="JC152" s="88"/>
      <c r="JD152" s="88"/>
      <c r="JE152" s="88"/>
      <c r="JF152" s="88"/>
      <c r="JG152" s="88"/>
      <c r="JH152" s="88"/>
      <c r="JI152" s="88"/>
      <c r="JJ152" s="88"/>
      <c r="JK152" s="88"/>
      <c r="JL152" s="88"/>
      <c r="JM152" s="88"/>
      <c r="JN152" s="88"/>
      <c r="JO152" s="88"/>
      <c r="JP152" s="88"/>
      <c r="JQ152" s="88"/>
      <c r="JR152" s="88"/>
      <c r="JS152" s="88"/>
      <c r="JT152" s="88"/>
      <c r="JU152" s="88"/>
      <c r="JV152" s="88"/>
      <c r="JW152" s="88"/>
      <c r="JX152" s="88"/>
      <c r="JY152" s="88"/>
      <c r="JZ152" s="88"/>
      <c r="KA152" s="89"/>
      <c r="KB152" s="90"/>
      <c r="KC152" s="88"/>
      <c r="KD152" s="88"/>
      <c r="KE152" s="88"/>
      <c r="KF152" s="88"/>
      <c r="KG152" s="88"/>
    </row>
    <row r="153" customFormat="false" ht="22.5" hidden="false" customHeight="true" outlineLevel="1" collapsed="false">
      <c r="B153" s="75" t="s">
        <v>423</v>
      </c>
      <c r="C153" s="217" t="s">
        <v>424</v>
      </c>
      <c r="D153" s="127" t="s">
        <v>177</v>
      </c>
      <c r="E153" s="218" t="n">
        <v>6</v>
      </c>
      <c r="F153" s="219" t="n">
        <v>0</v>
      </c>
      <c r="G153" s="220" t="n">
        <f aca="false">E153-F153</f>
        <v>6</v>
      </c>
      <c r="H153" s="221" t="n">
        <v>2</v>
      </c>
      <c r="I153" s="222" t="n">
        <v>7.5</v>
      </c>
      <c r="J153" s="149" t="n">
        <v>46306</v>
      </c>
      <c r="K153" s="144" t="n">
        <v>46307</v>
      </c>
      <c r="L153" s="143" t="n">
        <f aca="false">K153-J153</f>
        <v>1</v>
      </c>
      <c r="M153" s="224" t="n">
        <f aca="false">IFERROR(F153/E153,"")</f>
        <v>0</v>
      </c>
      <c r="N153" s="87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9"/>
      <c r="AK153" s="90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  <c r="BD153" s="88"/>
      <c r="BE153" s="88"/>
      <c r="BF153" s="88"/>
      <c r="BG153" s="88"/>
      <c r="BH153" s="88"/>
      <c r="BI153" s="88"/>
      <c r="BJ153" s="88"/>
      <c r="BK153" s="88"/>
      <c r="BL153" s="88"/>
      <c r="BM153" s="88"/>
      <c r="BN153" s="89"/>
      <c r="BO153" s="90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91"/>
      <c r="CT153" s="90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  <c r="DL153" s="88"/>
      <c r="DM153" s="88"/>
      <c r="DN153" s="88"/>
      <c r="DO153" s="88"/>
      <c r="DP153" s="88"/>
      <c r="DQ153" s="88"/>
      <c r="DR153" s="88"/>
      <c r="DS153" s="88"/>
      <c r="DT153" s="88"/>
      <c r="DU153" s="92"/>
      <c r="DV153" s="87"/>
      <c r="DW153" s="88"/>
      <c r="DX153" s="88"/>
      <c r="DY153" s="88"/>
      <c r="DZ153" s="88"/>
      <c r="EA153" s="88"/>
      <c r="EB153" s="88"/>
      <c r="EC153" s="88"/>
      <c r="ED153" s="89"/>
      <c r="EE153" s="90"/>
      <c r="EF153" s="88"/>
      <c r="EG153" s="88"/>
      <c r="EH153" s="88"/>
      <c r="EI153" s="88"/>
      <c r="EJ153" s="88"/>
      <c r="EK153" s="88"/>
      <c r="EL153" s="88"/>
      <c r="EM153" s="88"/>
      <c r="EN153" s="88"/>
      <c r="EO153" s="88"/>
      <c r="EP153" s="88"/>
      <c r="EQ153" s="88"/>
      <c r="ER153" s="88"/>
      <c r="ES153" s="88"/>
      <c r="ET153" s="88"/>
      <c r="EU153" s="88"/>
      <c r="EV153" s="88"/>
      <c r="EW153" s="88"/>
      <c r="EX153" s="88"/>
      <c r="EY153" s="88"/>
      <c r="EZ153" s="88"/>
      <c r="FA153" s="88"/>
      <c r="FB153" s="88"/>
      <c r="FC153" s="88"/>
      <c r="FD153" s="88"/>
      <c r="FE153" s="88"/>
      <c r="FF153" s="88"/>
      <c r="FG153" s="88"/>
      <c r="FH153" s="88"/>
      <c r="FI153" s="89"/>
      <c r="FJ153" s="90"/>
      <c r="FK153" s="88"/>
      <c r="FL153" s="88"/>
      <c r="FM153" s="88"/>
      <c r="FN153" s="88"/>
      <c r="FO153" s="88"/>
      <c r="FP153" s="88"/>
      <c r="FQ153" s="88"/>
      <c r="FR153" s="88"/>
      <c r="FS153" s="88"/>
      <c r="FT153" s="88"/>
      <c r="FU153" s="88"/>
      <c r="FV153" s="88"/>
      <c r="FW153" s="88"/>
      <c r="FX153" s="88"/>
      <c r="FY153" s="88"/>
      <c r="FZ153" s="88"/>
      <c r="GA153" s="88"/>
      <c r="GB153" s="88"/>
      <c r="GC153" s="88"/>
      <c r="GD153" s="88"/>
      <c r="GE153" s="88"/>
      <c r="GF153" s="88"/>
      <c r="GG153" s="88"/>
      <c r="GH153" s="88"/>
      <c r="GI153" s="88"/>
      <c r="GJ153" s="88"/>
      <c r="GK153" s="88"/>
      <c r="GL153" s="88"/>
      <c r="GM153" s="88"/>
      <c r="GN153" s="89"/>
      <c r="GO153" s="90"/>
      <c r="GP153" s="88"/>
      <c r="GQ153" s="88"/>
      <c r="GR153" s="88"/>
      <c r="GS153" s="88"/>
      <c r="GT153" s="88"/>
      <c r="GU153" s="88"/>
      <c r="GV153" s="88"/>
      <c r="GW153" s="88"/>
      <c r="GX153" s="88"/>
      <c r="GY153" s="88"/>
      <c r="GZ153" s="88"/>
      <c r="HA153" s="88"/>
      <c r="HB153" s="88"/>
      <c r="HC153" s="88"/>
      <c r="HD153" s="88"/>
      <c r="HE153" s="88"/>
      <c r="HF153" s="88"/>
      <c r="HG153" s="88"/>
      <c r="HH153" s="88"/>
      <c r="HI153" s="88"/>
      <c r="HJ153" s="88"/>
      <c r="HK153" s="88"/>
      <c r="HL153" s="88"/>
      <c r="HM153" s="88"/>
      <c r="HN153" s="88"/>
      <c r="HO153" s="92"/>
      <c r="HP153" s="87"/>
      <c r="HQ153" s="88"/>
      <c r="HR153" s="89"/>
      <c r="HS153" s="90"/>
      <c r="HT153" s="88"/>
      <c r="HU153" s="88"/>
      <c r="HV153" s="88"/>
      <c r="HW153" s="88"/>
      <c r="HX153" s="88"/>
      <c r="HY153" s="88"/>
      <c r="HZ153" s="88"/>
      <c r="IA153" s="88"/>
      <c r="IB153" s="88"/>
      <c r="IC153" s="88"/>
      <c r="ID153" s="88"/>
      <c r="IE153" s="88"/>
      <c r="IF153" s="88"/>
      <c r="IG153" s="88"/>
      <c r="IH153" s="88"/>
      <c r="II153" s="88"/>
      <c r="IJ153" s="88"/>
      <c r="IK153" s="88"/>
      <c r="IL153" s="88"/>
      <c r="IM153" s="88"/>
      <c r="IN153" s="88"/>
      <c r="IO153" s="88"/>
      <c r="IP153" s="88"/>
      <c r="IQ153" s="88"/>
      <c r="IR153" s="88"/>
      <c r="IS153" s="88"/>
      <c r="IT153" s="88"/>
      <c r="IU153" s="88"/>
      <c r="IV153" s="88"/>
      <c r="IW153" s="89"/>
      <c r="IX153" s="92"/>
      <c r="IY153" s="87"/>
      <c r="IZ153" s="88"/>
      <c r="JA153" s="88"/>
      <c r="JB153" s="88"/>
      <c r="JC153" s="88"/>
      <c r="JD153" s="88"/>
      <c r="JE153" s="88"/>
      <c r="JF153" s="88"/>
      <c r="JG153" s="88"/>
      <c r="JH153" s="88"/>
      <c r="JI153" s="88"/>
      <c r="JJ153" s="88"/>
      <c r="JK153" s="88"/>
      <c r="JL153" s="88"/>
      <c r="JM153" s="88"/>
      <c r="JN153" s="88"/>
      <c r="JO153" s="88"/>
      <c r="JP153" s="88"/>
      <c r="JQ153" s="88"/>
      <c r="JR153" s="88"/>
      <c r="JS153" s="88"/>
      <c r="JT153" s="88"/>
      <c r="JU153" s="88"/>
      <c r="JV153" s="88"/>
      <c r="JW153" s="88"/>
      <c r="JX153" s="88"/>
      <c r="JY153" s="88"/>
      <c r="JZ153" s="88"/>
      <c r="KA153" s="89"/>
      <c r="KB153" s="90"/>
      <c r="KC153" s="88"/>
      <c r="KD153" s="88"/>
      <c r="KE153" s="88"/>
      <c r="KF153" s="88"/>
      <c r="KG153" s="88"/>
    </row>
    <row r="154" customFormat="false" ht="22.5" hidden="false" customHeight="true" outlineLevel="1" collapsed="false">
      <c r="B154" s="75" t="s">
        <v>425</v>
      </c>
      <c r="C154" s="217" t="s">
        <v>426</v>
      </c>
      <c r="D154" s="127" t="s">
        <v>427</v>
      </c>
      <c r="E154" s="218" t="n">
        <v>6</v>
      </c>
      <c r="F154" s="219" t="n">
        <v>0</v>
      </c>
      <c r="G154" s="220" t="n">
        <f aca="false">E154-F154</f>
        <v>6</v>
      </c>
      <c r="H154" s="221" t="n">
        <v>2</v>
      </c>
      <c r="I154" s="222" t="n">
        <v>7.6</v>
      </c>
      <c r="J154" s="149" t="n">
        <v>46307</v>
      </c>
      <c r="K154" s="144" t="n">
        <v>46308</v>
      </c>
      <c r="L154" s="143" t="n">
        <f aca="false">K154-J154</f>
        <v>1</v>
      </c>
      <c r="M154" s="224" t="n">
        <f aca="false">IFERROR(F154/E154,"")</f>
        <v>0</v>
      </c>
      <c r="N154" s="225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7"/>
      <c r="AK154" s="228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 s="226"/>
      <c r="BI154" s="226"/>
      <c r="BJ154" s="226"/>
      <c r="BK154" s="226"/>
      <c r="BL154" s="226"/>
      <c r="BM154" s="226"/>
      <c r="BN154" s="227"/>
      <c r="BO154" s="228"/>
      <c r="BP154" s="226"/>
      <c r="BQ154" s="226"/>
      <c r="BR154" s="226"/>
      <c r="BS154" s="226"/>
      <c r="BT154" s="226"/>
      <c r="BU154" s="226"/>
      <c r="BV154" s="226"/>
      <c r="BW154" s="226"/>
      <c r="BX154" s="226"/>
      <c r="BY154" s="226"/>
      <c r="BZ154" s="226"/>
      <c r="CA154" s="226"/>
      <c r="CB154" s="226"/>
      <c r="CC154" s="226"/>
      <c r="CD154" s="226"/>
      <c r="CE154" s="226"/>
      <c r="CF154" s="226"/>
      <c r="CG154" s="226"/>
      <c r="CH154" s="226"/>
      <c r="CI154" s="226"/>
      <c r="CJ154" s="226"/>
      <c r="CK154" s="226"/>
      <c r="CL154" s="226"/>
      <c r="CM154" s="226"/>
      <c r="CN154" s="226"/>
      <c r="CO154" s="226"/>
      <c r="CP154" s="226"/>
      <c r="CQ154" s="226"/>
      <c r="CR154" s="226"/>
      <c r="CS154" s="229"/>
      <c r="CT154" s="228"/>
      <c r="CU154" s="226"/>
      <c r="CV154" s="226"/>
      <c r="CW154" s="226"/>
      <c r="CX154" s="226"/>
      <c r="CY154" s="226"/>
      <c r="CZ154" s="226"/>
      <c r="DA154" s="226"/>
      <c r="DB154" s="226"/>
      <c r="DC154" s="226"/>
      <c r="DD154" s="226"/>
      <c r="DE154" s="226"/>
      <c r="DF154" s="226"/>
      <c r="DG154" s="226"/>
      <c r="DH154" s="226"/>
      <c r="DI154" s="226"/>
      <c r="DJ154" s="226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30"/>
      <c r="DV154" s="225"/>
      <c r="DW154" s="226"/>
      <c r="DX154" s="226"/>
      <c r="DY154" s="226"/>
      <c r="DZ154" s="226"/>
      <c r="EA154" s="226"/>
      <c r="EB154" s="226"/>
      <c r="EC154" s="226"/>
      <c r="ED154" s="227"/>
      <c r="EE154" s="228"/>
      <c r="EF154" s="226"/>
      <c r="EG154" s="226"/>
      <c r="EH154" s="226"/>
      <c r="EI154" s="226"/>
      <c r="EJ154" s="226"/>
      <c r="EK154" s="226"/>
      <c r="EL154" s="226"/>
      <c r="EM154" s="226"/>
      <c r="EN154" s="226"/>
      <c r="EO154" s="226"/>
      <c r="EP154" s="226"/>
      <c r="EQ154" s="226"/>
      <c r="ER154" s="226"/>
      <c r="ES154" s="226"/>
      <c r="ET154" s="226"/>
      <c r="EU154" s="226"/>
      <c r="EV154" s="226"/>
      <c r="EW154" s="226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226"/>
      <c r="FH154" s="226"/>
      <c r="FI154" s="227"/>
      <c r="FJ154" s="228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226"/>
      <c r="FU154" s="226"/>
      <c r="FV154" s="226"/>
      <c r="FW154" s="226"/>
      <c r="FX154" s="226"/>
      <c r="FY154" s="226"/>
      <c r="FZ154" s="226"/>
      <c r="GA154" s="226"/>
      <c r="GB154" s="226"/>
      <c r="GC154" s="226"/>
      <c r="GD154" s="226"/>
      <c r="GE154" s="226"/>
      <c r="GF154" s="226"/>
      <c r="GG154" s="226"/>
      <c r="GH154" s="226"/>
      <c r="GI154" s="226"/>
      <c r="GJ154" s="226"/>
      <c r="GK154" s="226"/>
      <c r="GL154" s="226"/>
      <c r="GM154" s="226"/>
      <c r="GN154" s="227"/>
      <c r="GO154" s="228"/>
      <c r="GP154" s="226"/>
      <c r="GQ154" s="226"/>
      <c r="GR154" s="226"/>
      <c r="GS154" s="226"/>
      <c r="GT154" s="226"/>
      <c r="GU154" s="226"/>
      <c r="GV154" s="226"/>
      <c r="GW154" s="226"/>
      <c r="GX154" s="226"/>
      <c r="GY154" s="226"/>
      <c r="GZ154" s="226"/>
      <c r="HA154" s="226"/>
      <c r="HB154" s="226"/>
      <c r="HC154" s="226"/>
      <c r="HD154" s="226"/>
      <c r="HE154" s="226"/>
      <c r="HF154" s="226"/>
      <c r="HG154" s="226"/>
      <c r="HH154" s="226"/>
      <c r="HI154" s="226"/>
      <c r="HJ154" s="226"/>
      <c r="HK154" s="226"/>
      <c r="HL154" s="226"/>
      <c r="HM154" s="226"/>
      <c r="HN154" s="226"/>
      <c r="HO154" s="230"/>
      <c r="HP154" s="225"/>
      <c r="HQ154" s="226"/>
      <c r="HR154" s="227"/>
      <c r="HS154" s="228"/>
      <c r="HT154" s="226"/>
      <c r="HU154" s="226"/>
      <c r="HV154" s="226"/>
      <c r="HW154" s="226"/>
      <c r="HX154" s="226"/>
      <c r="HY154" s="226"/>
      <c r="HZ154" s="226"/>
      <c r="IA154" s="226"/>
      <c r="IB154" s="226"/>
      <c r="IC154" s="226"/>
      <c r="ID154" s="226"/>
      <c r="IE154" s="226"/>
      <c r="IF154" s="226"/>
      <c r="IG154" s="226"/>
      <c r="IH154" s="226"/>
      <c r="II154" s="226"/>
      <c r="IJ154" s="226"/>
      <c r="IK154" s="226"/>
      <c r="IL154" s="226"/>
      <c r="IM154" s="226"/>
      <c r="IN154" s="226"/>
      <c r="IO154" s="226"/>
      <c r="IP154" s="226"/>
      <c r="IQ154" s="226"/>
      <c r="IR154" s="226"/>
      <c r="IS154" s="226"/>
      <c r="IT154" s="226"/>
      <c r="IU154" s="226"/>
      <c r="IV154" s="226"/>
      <c r="IW154" s="227"/>
      <c r="IX154" s="230"/>
      <c r="IY154" s="225"/>
      <c r="IZ154" s="226"/>
      <c r="JA154" s="226"/>
      <c r="JB154" s="226"/>
      <c r="JC154" s="226"/>
      <c r="JD154" s="226"/>
      <c r="JE154" s="226"/>
      <c r="JF154" s="226"/>
      <c r="JG154" s="226"/>
      <c r="JH154" s="226"/>
      <c r="JI154" s="226"/>
      <c r="JJ154" s="226"/>
      <c r="JK154" s="226"/>
      <c r="JL154" s="226"/>
      <c r="JM154" s="226"/>
      <c r="JN154" s="226"/>
      <c r="JO154" s="226"/>
      <c r="JP154" s="226"/>
      <c r="JQ154" s="226"/>
      <c r="JR154" s="226"/>
      <c r="JS154" s="226"/>
      <c r="JT154" s="226"/>
      <c r="JU154" s="226"/>
      <c r="JV154" s="226"/>
      <c r="JW154" s="226"/>
      <c r="JX154" s="226"/>
      <c r="JY154" s="226"/>
      <c r="JZ154" s="226"/>
      <c r="KA154" s="227"/>
      <c r="KB154" s="228"/>
      <c r="KC154" s="226"/>
      <c r="KD154" s="226"/>
      <c r="KE154" s="226"/>
      <c r="KF154" s="226"/>
      <c r="KG154" s="226"/>
    </row>
    <row r="155" customFormat="false" ht="22.5" hidden="false" customHeight="true" outlineLevel="1" collapsed="false">
      <c r="B155" s="75" t="s">
        <v>428</v>
      </c>
      <c r="C155" s="217" t="s">
        <v>429</v>
      </c>
      <c r="D155" s="244" t="s">
        <v>313</v>
      </c>
      <c r="E155" s="218" t="n">
        <v>2</v>
      </c>
      <c r="F155" s="219" t="n">
        <v>0</v>
      </c>
      <c r="G155" s="220" t="n">
        <f aca="false">E155-F155</f>
        <v>2</v>
      </c>
      <c r="H155" s="221" t="n">
        <v>2</v>
      </c>
      <c r="I155" s="222" t="n">
        <v>7.7</v>
      </c>
      <c r="J155" s="149" t="n">
        <v>46308</v>
      </c>
      <c r="K155" s="144" t="n">
        <v>46309</v>
      </c>
      <c r="L155" s="143" t="n">
        <f aca="false">K155-J155</f>
        <v>1</v>
      </c>
      <c r="M155" s="224" t="n">
        <f aca="false">IFERROR(F155/E155,"")</f>
        <v>0</v>
      </c>
      <c r="N155" s="225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7"/>
      <c r="AK155" s="228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 s="226"/>
      <c r="BI155" s="226"/>
      <c r="BJ155" s="226"/>
      <c r="BK155" s="226"/>
      <c r="BL155" s="226"/>
      <c r="BM155" s="226"/>
      <c r="BN155" s="227"/>
      <c r="BO155" s="228"/>
      <c r="BP155" s="226"/>
      <c r="BQ155" s="226"/>
      <c r="BR155" s="226"/>
      <c r="BS155" s="226"/>
      <c r="BT155" s="226"/>
      <c r="BU155" s="226"/>
      <c r="BV155" s="226"/>
      <c r="BW155" s="226"/>
      <c r="BX155" s="226"/>
      <c r="BY155" s="226"/>
      <c r="BZ155" s="226"/>
      <c r="CA155" s="226"/>
      <c r="CB155" s="226"/>
      <c r="CC155" s="226"/>
      <c r="CD155" s="226"/>
      <c r="CE155" s="226"/>
      <c r="CF155" s="226"/>
      <c r="CG155" s="226"/>
      <c r="CH155" s="226"/>
      <c r="CI155" s="226"/>
      <c r="CJ155" s="226"/>
      <c r="CK155" s="226"/>
      <c r="CL155" s="226"/>
      <c r="CM155" s="226"/>
      <c r="CN155" s="226"/>
      <c r="CO155" s="226"/>
      <c r="CP155" s="226"/>
      <c r="CQ155" s="226"/>
      <c r="CR155" s="226"/>
      <c r="CS155" s="229"/>
      <c r="CT155" s="228"/>
      <c r="CU155" s="226"/>
      <c r="CV155" s="226"/>
      <c r="CW155" s="226"/>
      <c r="CX155" s="226"/>
      <c r="CY155" s="226"/>
      <c r="CZ155" s="226"/>
      <c r="DA155" s="226"/>
      <c r="DB155" s="226"/>
      <c r="DC155" s="226"/>
      <c r="DD155" s="226"/>
      <c r="DE155" s="226"/>
      <c r="DF155" s="226"/>
      <c r="DG155" s="226"/>
      <c r="DH155" s="226"/>
      <c r="DI155" s="226"/>
      <c r="DJ155" s="226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30"/>
      <c r="DV155" s="225"/>
      <c r="DW155" s="226"/>
      <c r="DX155" s="226"/>
      <c r="DY155" s="226"/>
      <c r="DZ155" s="226"/>
      <c r="EA155" s="226"/>
      <c r="EB155" s="226"/>
      <c r="EC155" s="226"/>
      <c r="ED155" s="227"/>
      <c r="EE155" s="228"/>
      <c r="EF155" s="226"/>
      <c r="EG155" s="226"/>
      <c r="EH155" s="226"/>
      <c r="EI155" s="226"/>
      <c r="EJ155" s="226"/>
      <c r="EK155" s="226"/>
      <c r="EL155" s="226"/>
      <c r="EM155" s="226"/>
      <c r="EN155" s="226"/>
      <c r="EO155" s="226"/>
      <c r="EP155" s="226"/>
      <c r="EQ155" s="226"/>
      <c r="ER155" s="226"/>
      <c r="ES155" s="226"/>
      <c r="ET155" s="226"/>
      <c r="EU155" s="226"/>
      <c r="EV155" s="226"/>
      <c r="EW155" s="226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226"/>
      <c r="FH155" s="226"/>
      <c r="FI155" s="227"/>
      <c r="FJ155" s="228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226"/>
      <c r="FU155" s="226"/>
      <c r="FV155" s="226"/>
      <c r="FW155" s="226"/>
      <c r="FX155" s="226"/>
      <c r="FY155" s="226"/>
      <c r="FZ155" s="226"/>
      <c r="GA155" s="226"/>
      <c r="GB155" s="226"/>
      <c r="GC155" s="226"/>
      <c r="GD155" s="226"/>
      <c r="GE155" s="226"/>
      <c r="GF155" s="226"/>
      <c r="GG155" s="226"/>
      <c r="GH155" s="226"/>
      <c r="GI155" s="226"/>
      <c r="GJ155" s="226"/>
      <c r="GK155" s="226"/>
      <c r="GL155" s="226"/>
      <c r="GM155" s="226"/>
      <c r="GN155" s="227"/>
      <c r="GO155" s="228"/>
      <c r="GP155" s="226"/>
      <c r="GQ155" s="226"/>
      <c r="GR155" s="226"/>
      <c r="GS155" s="226"/>
      <c r="GT155" s="226"/>
      <c r="GU155" s="226"/>
      <c r="GV155" s="226"/>
      <c r="GW155" s="226"/>
      <c r="GX155" s="226"/>
      <c r="GY155" s="226"/>
      <c r="GZ155" s="226"/>
      <c r="HA155" s="226"/>
      <c r="HB155" s="226"/>
      <c r="HC155" s="226"/>
      <c r="HD155" s="226"/>
      <c r="HE155" s="226"/>
      <c r="HF155" s="226"/>
      <c r="HG155" s="226"/>
      <c r="HH155" s="226"/>
      <c r="HI155" s="226"/>
      <c r="HJ155" s="226"/>
      <c r="HK155" s="226"/>
      <c r="HL155" s="226"/>
      <c r="HM155" s="226"/>
      <c r="HN155" s="226"/>
      <c r="HO155" s="230"/>
      <c r="HP155" s="225"/>
      <c r="HQ155" s="226"/>
      <c r="HR155" s="227"/>
      <c r="HS155" s="228"/>
      <c r="HT155" s="226"/>
      <c r="HU155" s="226"/>
      <c r="HV155" s="226"/>
      <c r="HW155" s="226"/>
      <c r="HX155" s="226"/>
      <c r="HY155" s="226"/>
      <c r="HZ155" s="226"/>
      <c r="IA155" s="226"/>
      <c r="IB155" s="226"/>
      <c r="IC155" s="226"/>
      <c r="ID155" s="226"/>
      <c r="IE155" s="226"/>
      <c r="IF155" s="226"/>
      <c r="IG155" s="226"/>
      <c r="IH155" s="226"/>
      <c r="II155" s="226"/>
      <c r="IJ155" s="226"/>
      <c r="IK155" s="226"/>
      <c r="IL155" s="226"/>
      <c r="IM155" s="226"/>
      <c r="IN155" s="226"/>
      <c r="IO155" s="226"/>
      <c r="IP155" s="226"/>
      <c r="IQ155" s="226"/>
      <c r="IR155" s="226"/>
      <c r="IS155" s="226"/>
      <c r="IT155" s="226"/>
      <c r="IU155" s="226"/>
      <c r="IV155" s="226"/>
      <c r="IW155" s="227"/>
      <c r="IX155" s="230"/>
      <c r="IY155" s="225"/>
      <c r="IZ155" s="226"/>
      <c r="JA155" s="226"/>
      <c r="JB155" s="226"/>
      <c r="JC155" s="226"/>
      <c r="JD155" s="226"/>
      <c r="JE155" s="226"/>
      <c r="JF155" s="226"/>
      <c r="JG155" s="226"/>
      <c r="JH155" s="226"/>
      <c r="JI155" s="226"/>
      <c r="JJ155" s="226"/>
      <c r="JK155" s="226"/>
      <c r="JL155" s="226"/>
      <c r="JM155" s="226"/>
      <c r="JN155" s="226"/>
      <c r="JO155" s="226"/>
      <c r="JP155" s="226"/>
      <c r="JQ155" s="226"/>
      <c r="JR155" s="226"/>
      <c r="JS155" s="226"/>
      <c r="JT155" s="226"/>
      <c r="JU155" s="226"/>
      <c r="JV155" s="226"/>
      <c r="JW155" s="226"/>
      <c r="JX155" s="226"/>
      <c r="JY155" s="226"/>
      <c r="JZ155" s="226"/>
      <c r="KA155" s="227"/>
      <c r="KB155" s="228"/>
      <c r="KC155" s="226"/>
      <c r="KD155" s="226"/>
      <c r="KE155" s="226"/>
      <c r="KF155" s="226"/>
      <c r="KG155" s="226"/>
    </row>
    <row r="156" customFormat="false" ht="22.5" hidden="false" customHeight="true" outlineLevel="1" collapsed="false">
      <c r="B156" s="75" t="s">
        <v>430</v>
      </c>
      <c r="C156" s="217" t="s">
        <v>431</v>
      </c>
      <c r="D156" s="244" t="s">
        <v>432</v>
      </c>
      <c r="E156" s="218" t="n">
        <v>2</v>
      </c>
      <c r="F156" s="219" t="n">
        <v>0</v>
      </c>
      <c r="G156" s="220" t="n">
        <f aca="false">E156-F156</f>
        <v>2</v>
      </c>
      <c r="H156" s="221" t="n">
        <v>3</v>
      </c>
      <c r="I156" s="222" t="n">
        <v>5.1</v>
      </c>
      <c r="J156" s="149" t="n">
        <v>46310</v>
      </c>
      <c r="K156" s="144" t="n">
        <v>46312</v>
      </c>
      <c r="L156" s="143" t="n">
        <f aca="false">K156-J156</f>
        <v>2</v>
      </c>
      <c r="M156" s="224" t="n">
        <f aca="false">IFERROR(F156/E156,"")</f>
        <v>0</v>
      </c>
      <c r="N156" s="225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7"/>
      <c r="AK156" s="228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 s="226"/>
      <c r="BI156" s="226"/>
      <c r="BJ156" s="226"/>
      <c r="BK156" s="226"/>
      <c r="BL156" s="226"/>
      <c r="BM156" s="226"/>
      <c r="BN156" s="227"/>
      <c r="BO156" s="228"/>
      <c r="BP156" s="226"/>
      <c r="BQ156" s="226"/>
      <c r="BR156" s="226"/>
      <c r="BS156" s="226"/>
      <c r="BT156" s="226"/>
      <c r="BU156" s="226"/>
      <c r="BV156" s="226"/>
      <c r="BW156" s="226"/>
      <c r="BX156" s="226"/>
      <c r="BY156" s="226"/>
      <c r="BZ156" s="226"/>
      <c r="CA156" s="226"/>
      <c r="CB156" s="226"/>
      <c r="CC156" s="226"/>
      <c r="CD156" s="226"/>
      <c r="CE156" s="226"/>
      <c r="CF156" s="226"/>
      <c r="CG156" s="226"/>
      <c r="CH156" s="226"/>
      <c r="CI156" s="226"/>
      <c r="CJ156" s="226"/>
      <c r="CK156" s="226"/>
      <c r="CL156" s="226"/>
      <c r="CM156" s="226"/>
      <c r="CN156" s="226"/>
      <c r="CO156" s="226"/>
      <c r="CP156" s="226"/>
      <c r="CQ156" s="226"/>
      <c r="CR156" s="226"/>
      <c r="CS156" s="229"/>
      <c r="CT156" s="228"/>
      <c r="CU156" s="226"/>
      <c r="CV156" s="226"/>
      <c r="CW156" s="226"/>
      <c r="CX156" s="226"/>
      <c r="CY156" s="226"/>
      <c r="CZ156" s="226"/>
      <c r="DA156" s="226"/>
      <c r="DB156" s="226"/>
      <c r="DC156" s="226"/>
      <c r="DD156" s="226"/>
      <c r="DE156" s="226"/>
      <c r="DF156" s="226"/>
      <c r="DG156" s="226"/>
      <c r="DH156" s="226"/>
      <c r="DI156" s="226"/>
      <c r="DJ156" s="226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30"/>
      <c r="DV156" s="225"/>
      <c r="DW156" s="226"/>
      <c r="DX156" s="226"/>
      <c r="DY156" s="226"/>
      <c r="DZ156" s="226"/>
      <c r="EA156" s="226"/>
      <c r="EB156" s="226"/>
      <c r="EC156" s="226"/>
      <c r="ED156" s="227"/>
      <c r="EE156" s="228"/>
      <c r="EF156" s="226"/>
      <c r="EG156" s="226"/>
      <c r="EH156" s="226"/>
      <c r="EI156" s="226"/>
      <c r="EJ156" s="226"/>
      <c r="EK156" s="226"/>
      <c r="EL156" s="226"/>
      <c r="EM156" s="226"/>
      <c r="EN156" s="226"/>
      <c r="EO156" s="226"/>
      <c r="EP156" s="226"/>
      <c r="EQ156" s="226"/>
      <c r="ER156" s="226"/>
      <c r="ES156" s="226"/>
      <c r="ET156" s="226"/>
      <c r="EU156" s="226"/>
      <c r="EV156" s="226"/>
      <c r="EW156" s="226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226"/>
      <c r="FH156" s="226"/>
      <c r="FI156" s="227"/>
      <c r="FJ156" s="228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226"/>
      <c r="FU156" s="226"/>
      <c r="FV156" s="226"/>
      <c r="FW156" s="226"/>
      <c r="FX156" s="226"/>
      <c r="FY156" s="226"/>
      <c r="FZ156" s="226"/>
      <c r="GA156" s="226"/>
      <c r="GB156" s="226"/>
      <c r="GC156" s="226"/>
      <c r="GD156" s="226"/>
      <c r="GE156" s="226"/>
      <c r="GF156" s="226"/>
      <c r="GG156" s="226"/>
      <c r="GH156" s="226"/>
      <c r="GI156" s="226"/>
      <c r="GJ156" s="226"/>
      <c r="GK156" s="226"/>
      <c r="GL156" s="226"/>
      <c r="GM156" s="226"/>
      <c r="GN156" s="227"/>
      <c r="GO156" s="228"/>
      <c r="GP156" s="226"/>
      <c r="GQ156" s="226"/>
      <c r="GR156" s="226"/>
      <c r="GS156" s="226"/>
      <c r="GT156" s="226"/>
      <c r="GU156" s="226"/>
      <c r="GV156" s="226"/>
      <c r="GW156" s="226"/>
      <c r="GX156" s="226"/>
      <c r="GY156" s="226"/>
      <c r="GZ156" s="226"/>
      <c r="HA156" s="226"/>
      <c r="HB156" s="226"/>
      <c r="HC156" s="226"/>
      <c r="HD156" s="226"/>
      <c r="HE156" s="226"/>
      <c r="HF156" s="226"/>
      <c r="HG156" s="226"/>
      <c r="HH156" s="226"/>
      <c r="HI156" s="226"/>
      <c r="HJ156" s="226"/>
      <c r="HK156" s="226"/>
      <c r="HL156" s="226"/>
      <c r="HM156" s="226"/>
      <c r="HN156" s="226"/>
      <c r="HO156" s="230"/>
      <c r="HP156" s="225"/>
      <c r="HQ156" s="226"/>
      <c r="HR156" s="227"/>
      <c r="HS156" s="228"/>
      <c r="HT156" s="226"/>
      <c r="HU156" s="226"/>
      <c r="HV156" s="226"/>
      <c r="HW156" s="226"/>
      <c r="HX156" s="226"/>
      <c r="HY156" s="226"/>
      <c r="HZ156" s="226"/>
      <c r="IA156" s="226"/>
      <c r="IB156" s="226"/>
      <c r="IC156" s="226"/>
      <c r="ID156" s="226"/>
      <c r="IE156" s="226"/>
      <c r="IF156" s="226"/>
      <c r="IG156" s="226"/>
      <c r="IH156" s="226"/>
      <c r="II156" s="226"/>
      <c r="IJ156" s="226"/>
      <c r="IK156" s="226"/>
      <c r="IL156" s="226"/>
      <c r="IM156" s="226"/>
      <c r="IN156" s="226"/>
      <c r="IO156" s="226"/>
      <c r="IP156" s="226"/>
      <c r="IQ156" s="226"/>
      <c r="IR156" s="226"/>
      <c r="IS156" s="226"/>
      <c r="IT156" s="226"/>
      <c r="IU156" s="226"/>
      <c r="IV156" s="226"/>
      <c r="IW156" s="227"/>
      <c r="IX156" s="230"/>
      <c r="IY156" s="225"/>
      <c r="IZ156" s="226"/>
      <c r="JA156" s="226"/>
      <c r="JB156" s="226"/>
      <c r="JC156" s="226"/>
      <c r="JD156" s="226"/>
      <c r="JE156" s="226"/>
      <c r="JF156" s="226"/>
      <c r="JG156" s="226"/>
      <c r="JH156" s="226"/>
      <c r="JI156" s="226"/>
      <c r="JJ156" s="226"/>
      <c r="JK156" s="226"/>
      <c r="JL156" s="226"/>
      <c r="JM156" s="226"/>
      <c r="JN156" s="226"/>
      <c r="JO156" s="226"/>
      <c r="JP156" s="226"/>
      <c r="JQ156" s="226"/>
      <c r="JR156" s="226"/>
      <c r="JS156" s="226"/>
      <c r="JT156" s="226"/>
      <c r="JU156" s="226"/>
      <c r="JV156" s="226"/>
      <c r="JW156" s="226"/>
      <c r="JX156" s="226"/>
      <c r="JY156" s="226"/>
      <c r="JZ156" s="226"/>
      <c r="KA156" s="227"/>
      <c r="KB156" s="228"/>
      <c r="KC156" s="226"/>
      <c r="KD156" s="226"/>
      <c r="KE156" s="226"/>
      <c r="KF156" s="226"/>
      <c r="KG156" s="226"/>
    </row>
    <row r="157" customFormat="false" ht="22.5" hidden="false" customHeight="true" outlineLevel="1" collapsed="false">
      <c r="B157" s="75" t="s">
        <v>433</v>
      </c>
      <c r="C157" s="217" t="s">
        <v>434</v>
      </c>
      <c r="D157" s="244" t="s">
        <v>240</v>
      </c>
      <c r="E157" s="218" t="n">
        <v>2</v>
      </c>
      <c r="F157" s="219" t="n">
        <v>0</v>
      </c>
      <c r="G157" s="220" t="n">
        <f aca="false">E157-F157</f>
        <v>2</v>
      </c>
      <c r="H157" s="221" t="n">
        <v>3</v>
      </c>
      <c r="I157" s="222" t="n">
        <v>7.9</v>
      </c>
      <c r="J157" s="149" t="n">
        <v>46312</v>
      </c>
      <c r="K157" s="144" t="n">
        <v>46314</v>
      </c>
      <c r="L157" s="143" t="n">
        <f aca="false">K157-J157</f>
        <v>2</v>
      </c>
      <c r="M157" s="224" t="n">
        <f aca="false">IFERROR(F157/E157,"")</f>
        <v>0</v>
      </c>
      <c r="N157" s="225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7"/>
      <c r="AK157" s="228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 s="226"/>
      <c r="BI157" s="226"/>
      <c r="BJ157" s="226"/>
      <c r="BK157" s="226"/>
      <c r="BL157" s="226"/>
      <c r="BM157" s="226"/>
      <c r="BN157" s="227"/>
      <c r="BO157" s="228"/>
      <c r="BP157" s="226"/>
      <c r="BQ157" s="226"/>
      <c r="BR157" s="226"/>
      <c r="BS157" s="226"/>
      <c r="BT157" s="226"/>
      <c r="BU157" s="226"/>
      <c r="BV157" s="226"/>
      <c r="BW157" s="226"/>
      <c r="BX157" s="226"/>
      <c r="BY157" s="226"/>
      <c r="BZ157" s="226"/>
      <c r="CA157" s="226"/>
      <c r="CB157" s="226"/>
      <c r="CC157" s="226"/>
      <c r="CD157" s="226"/>
      <c r="CE157" s="226"/>
      <c r="CF157" s="226"/>
      <c r="CG157" s="226"/>
      <c r="CH157" s="226"/>
      <c r="CI157" s="226"/>
      <c r="CJ157" s="226"/>
      <c r="CK157" s="226"/>
      <c r="CL157" s="226"/>
      <c r="CM157" s="226"/>
      <c r="CN157" s="226"/>
      <c r="CO157" s="226"/>
      <c r="CP157" s="226"/>
      <c r="CQ157" s="226"/>
      <c r="CR157" s="226"/>
      <c r="CS157" s="229"/>
      <c r="CT157" s="228"/>
      <c r="CU157" s="226"/>
      <c r="CV157" s="226"/>
      <c r="CW157" s="226"/>
      <c r="CX157" s="226"/>
      <c r="CY157" s="226"/>
      <c r="CZ157" s="226"/>
      <c r="DA157" s="226"/>
      <c r="DB157" s="226"/>
      <c r="DC157" s="226"/>
      <c r="DD157" s="226"/>
      <c r="DE157" s="226"/>
      <c r="DF157" s="226"/>
      <c r="DG157" s="226"/>
      <c r="DH157" s="226"/>
      <c r="DI157" s="226"/>
      <c r="DJ157" s="226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30"/>
      <c r="DV157" s="225"/>
      <c r="DW157" s="226"/>
      <c r="DX157" s="226"/>
      <c r="DY157" s="226"/>
      <c r="DZ157" s="226"/>
      <c r="EA157" s="226"/>
      <c r="EB157" s="226"/>
      <c r="EC157" s="226"/>
      <c r="ED157" s="227"/>
      <c r="EE157" s="228"/>
      <c r="EF157" s="226"/>
      <c r="EG157" s="226"/>
      <c r="EH157" s="226"/>
      <c r="EI157" s="226"/>
      <c r="EJ157" s="226"/>
      <c r="EK157" s="226"/>
      <c r="EL157" s="226"/>
      <c r="EM157" s="226"/>
      <c r="EN157" s="226"/>
      <c r="EO157" s="226"/>
      <c r="EP157" s="226"/>
      <c r="EQ157" s="226"/>
      <c r="ER157" s="226"/>
      <c r="ES157" s="226"/>
      <c r="ET157" s="226"/>
      <c r="EU157" s="226"/>
      <c r="EV157" s="226"/>
      <c r="EW157" s="226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226"/>
      <c r="FH157" s="226"/>
      <c r="FI157" s="227"/>
      <c r="FJ157" s="228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226"/>
      <c r="FU157" s="226"/>
      <c r="FV157" s="226"/>
      <c r="FW157" s="226"/>
      <c r="FX157" s="226"/>
      <c r="FY157" s="226"/>
      <c r="FZ157" s="226"/>
      <c r="GA157" s="226"/>
      <c r="GB157" s="226"/>
      <c r="GC157" s="226"/>
      <c r="GD157" s="226"/>
      <c r="GE157" s="226"/>
      <c r="GF157" s="226"/>
      <c r="GG157" s="226"/>
      <c r="GH157" s="226"/>
      <c r="GI157" s="226"/>
      <c r="GJ157" s="226"/>
      <c r="GK157" s="226"/>
      <c r="GL157" s="226"/>
      <c r="GM157" s="226"/>
      <c r="GN157" s="227"/>
      <c r="GO157" s="228"/>
      <c r="GP157" s="226"/>
      <c r="GQ157" s="226"/>
      <c r="GR157" s="226"/>
      <c r="GS157" s="226"/>
      <c r="GT157" s="226"/>
      <c r="GU157" s="226"/>
      <c r="GV157" s="226"/>
      <c r="GW157" s="226"/>
      <c r="GX157" s="226"/>
      <c r="GY157" s="226"/>
      <c r="GZ157" s="226"/>
      <c r="HA157" s="226"/>
      <c r="HB157" s="226"/>
      <c r="HC157" s="226"/>
      <c r="HD157" s="226"/>
      <c r="HE157" s="226"/>
      <c r="HF157" s="226"/>
      <c r="HG157" s="226"/>
      <c r="HH157" s="226"/>
      <c r="HI157" s="226"/>
      <c r="HJ157" s="226"/>
      <c r="HK157" s="226"/>
      <c r="HL157" s="226"/>
      <c r="HM157" s="226"/>
      <c r="HN157" s="226"/>
      <c r="HO157" s="230"/>
      <c r="HP157" s="225"/>
      <c r="HQ157" s="226"/>
      <c r="HR157" s="227"/>
      <c r="HS157" s="228"/>
      <c r="HT157" s="226"/>
      <c r="HU157" s="226"/>
      <c r="HV157" s="226"/>
      <c r="HW157" s="226"/>
      <c r="HX157" s="226"/>
      <c r="HY157" s="226"/>
      <c r="HZ157" s="226"/>
      <c r="IA157" s="226"/>
      <c r="IB157" s="226"/>
      <c r="IC157" s="226"/>
      <c r="ID157" s="226"/>
      <c r="IE157" s="226"/>
      <c r="IF157" s="226"/>
      <c r="IG157" s="226"/>
      <c r="IH157" s="226"/>
      <c r="II157" s="226"/>
      <c r="IJ157" s="226"/>
      <c r="IK157" s="226"/>
      <c r="IL157" s="226"/>
      <c r="IM157" s="226"/>
      <c r="IN157" s="226"/>
      <c r="IO157" s="226"/>
      <c r="IP157" s="226"/>
      <c r="IQ157" s="226"/>
      <c r="IR157" s="226"/>
      <c r="IS157" s="226"/>
      <c r="IT157" s="226"/>
      <c r="IU157" s="226"/>
      <c r="IV157" s="226"/>
      <c r="IW157" s="227"/>
      <c r="IX157" s="230"/>
      <c r="IY157" s="225"/>
      <c r="IZ157" s="226"/>
      <c r="JA157" s="226"/>
      <c r="JB157" s="226"/>
      <c r="JC157" s="226"/>
      <c r="JD157" s="226"/>
      <c r="JE157" s="226"/>
      <c r="JF157" s="226"/>
      <c r="JG157" s="226"/>
      <c r="JH157" s="226"/>
      <c r="JI157" s="226"/>
      <c r="JJ157" s="226"/>
      <c r="JK157" s="226"/>
      <c r="JL157" s="226"/>
      <c r="JM157" s="226"/>
      <c r="JN157" s="226"/>
      <c r="JO157" s="226"/>
      <c r="JP157" s="226"/>
      <c r="JQ157" s="226"/>
      <c r="JR157" s="226"/>
      <c r="JS157" s="226"/>
      <c r="JT157" s="226"/>
      <c r="JU157" s="226"/>
      <c r="JV157" s="226"/>
      <c r="JW157" s="226"/>
      <c r="JX157" s="226"/>
      <c r="JY157" s="226"/>
      <c r="JZ157" s="226"/>
      <c r="KA157" s="227"/>
      <c r="KB157" s="228"/>
      <c r="KC157" s="226"/>
      <c r="KD157" s="226"/>
      <c r="KE157" s="226"/>
      <c r="KF157" s="226"/>
      <c r="KG157" s="226"/>
    </row>
    <row r="158" customFormat="false" ht="22.5" hidden="false" customHeight="true" outlineLevel="1" collapsed="false">
      <c r="B158" s="75" t="s">
        <v>435</v>
      </c>
      <c r="C158" s="217" t="s">
        <v>436</v>
      </c>
      <c r="D158" s="244" t="s">
        <v>321</v>
      </c>
      <c r="E158" s="218" t="n">
        <v>2</v>
      </c>
      <c r="F158" s="219" t="n">
        <v>0</v>
      </c>
      <c r="G158" s="220" t="n">
        <f aca="false">E158-F158</f>
        <v>2</v>
      </c>
      <c r="H158" s="221" t="n">
        <v>3</v>
      </c>
      <c r="I158" s="222" t="n">
        <v>7.1</v>
      </c>
      <c r="J158" s="149" t="n">
        <v>46314</v>
      </c>
      <c r="K158" s="144" t="n">
        <v>46317</v>
      </c>
      <c r="L158" s="143" t="n">
        <f aca="false">K158-J158</f>
        <v>3</v>
      </c>
      <c r="M158" s="224" t="n">
        <f aca="false">IFERROR(F158/E158,"")</f>
        <v>0</v>
      </c>
      <c r="N158" s="225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7"/>
      <c r="AK158" s="228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 s="226"/>
      <c r="BI158" s="226"/>
      <c r="BJ158" s="226"/>
      <c r="BK158" s="226"/>
      <c r="BL158" s="226"/>
      <c r="BM158" s="226"/>
      <c r="BN158" s="227"/>
      <c r="BO158" s="228"/>
      <c r="BP158" s="226"/>
      <c r="BQ158" s="226"/>
      <c r="BR158" s="226"/>
      <c r="BS158" s="226"/>
      <c r="BT158" s="226"/>
      <c r="BU158" s="226"/>
      <c r="BV158" s="226"/>
      <c r="BW158" s="226"/>
      <c r="BX158" s="226"/>
      <c r="BY158" s="226"/>
      <c r="BZ158" s="226"/>
      <c r="CA158" s="226"/>
      <c r="CB158" s="226"/>
      <c r="CC158" s="226"/>
      <c r="CD158" s="226"/>
      <c r="CE158" s="226"/>
      <c r="CF158" s="226"/>
      <c r="CG158" s="226"/>
      <c r="CH158" s="226"/>
      <c r="CI158" s="226"/>
      <c r="CJ158" s="226"/>
      <c r="CK158" s="226"/>
      <c r="CL158" s="226"/>
      <c r="CM158" s="226"/>
      <c r="CN158" s="226"/>
      <c r="CO158" s="226"/>
      <c r="CP158" s="226"/>
      <c r="CQ158" s="226"/>
      <c r="CR158" s="226"/>
      <c r="CS158" s="229"/>
      <c r="CT158" s="228"/>
      <c r="CU158" s="226"/>
      <c r="CV158" s="226"/>
      <c r="CW158" s="226"/>
      <c r="CX158" s="226"/>
      <c r="CY158" s="226"/>
      <c r="CZ158" s="226"/>
      <c r="DA158" s="226"/>
      <c r="DB158" s="226"/>
      <c r="DC158" s="226"/>
      <c r="DD158" s="226"/>
      <c r="DE158" s="226"/>
      <c r="DF158" s="226"/>
      <c r="DG158" s="226"/>
      <c r="DH158" s="226"/>
      <c r="DI158" s="226"/>
      <c r="DJ158" s="226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30"/>
      <c r="DV158" s="225"/>
      <c r="DW158" s="226"/>
      <c r="DX158" s="226"/>
      <c r="DY158" s="226"/>
      <c r="DZ158" s="226"/>
      <c r="EA158" s="226"/>
      <c r="EB158" s="226"/>
      <c r="EC158" s="226"/>
      <c r="ED158" s="227"/>
      <c r="EE158" s="228"/>
      <c r="EF158" s="226"/>
      <c r="EG158" s="226"/>
      <c r="EH158" s="226"/>
      <c r="EI158" s="226"/>
      <c r="EJ158" s="226"/>
      <c r="EK158" s="226"/>
      <c r="EL158" s="226"/>
      <c r="EM158" s="226"/>
      <c r="EN158" s="226"/>
      <c r="EO158" s="226"/>
      <c r="EP158" s="226"/>
      <c r="EQ158" s="226"/>
      <c r="ER158" s="226"/>
      <c r="ES158" s="226"/>
      <c r="ET158" s="226"/>
      <c r="EU158" s="226"/>
      <c r="EV158" s="226"/>
      <c r="EW158" s="226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226"/>
      <c r="FH158" s="226"/>
      <c r="FI158" s="227"/>
      <c r="FJ158" s="228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226"/>
      <c r="FU158" s="226"/>
      <c r="FV158" s="226"/>
      <c r="FW158" s="226"/>
      <c r="FX158" s="226"/>
      <c r="FY158" s="226"/>
      <c r="FZ158" s="226"/>
      <c r="GA158" s="226"/>
      <c r="GB158" s="226"/>
      <c r="GC158" s="226"/>
      <c r="GD158" s="226"/>
      <c r="GE158" s="226"/>
      <c r="GF158" s="226"/>
      <c r="GG158" s="226"/>
      <c r="GH158" s="226"/>
      <c r="GI158" s="226"/>
      <c r="GJ158" s="226"/>
      <c r="GK158" s="226"/>
      <c r="GL158" s="226"/>
      <c r="GM158" s="226"/>
      <c r="GN158" s="227"/>
      <c r="GO158" s="228"/>
      <c r="GP158" s="226"/>
      <c r="GQ158" s="226"/>
      <c r="GR158" s="226"/>
      <c r="GS158" s="226"/>
      <c r="GT158" s="226"/>
      <c r="GU158" s="226"/>
      <c r="GV158" s="226"/>
      <c r="GW158" s="226"/>
      <c r="GX158" s="226"/>
      <c r="GY158" s="226"/>
      <c r="GZ158" s="226"/>
      <c r="HA158" s="226"/>
      <c r="HB158" s="226"/>
      <c r="HC158" s="226"/>
      <c r="HD158" s="226"/>
      <c r="HE158" s="226"/>
      <c r="HF158" s="226"/>
      <c r="HG158" s="226"/>
      <c r="HH158" s="226"/>
      <c r="HI158" s="226"/>
      <c r="HJ158" s="226"/>
      <c r="HK158" s="226"/>
      <c r="HL158" s="226"/>
      <c r="HM158" s="226"/>
      <c r="HN158" s="226"/>
      <c r="HO158" s="230"/>
      <c r="HP158" s="225"/>
      <c r="HQ158" s="226"/>
      <c r="HR158" s="227"/>
      <c r="HS158" s="228"/>
      <c r="HT158" s="226"/>
      <c r="HU158" s="226"/>
      <c r="HV158" s="226"/>
      <c r="HW158" s="226"/>
      <c r="HX158" s="226"/>
      <c r="HY158" s="226"/>
      <c r="HZ158" s="226"/>
      <c r="IA158" s="226"/>
      <c r="IB158" s="226"/>
      <c r="IC158" s="226"/>
      <c r="ID158" s="226"/>
      <c r="IE158" s="226"/>
      <c r="IF158" s="226"/>
      <c r="IG158" s="226"/>
      <c r="IH158" s="226"/>
      <c r="II158" s="226"/>
      <c r="IJ158" s="226"/>
      <c r="IK158" s="226"/>
      <c r="IL158" s="226"/>
      <c r="IM158" s="226"/>
      <c r="IN158" s="226"/>
      <c r="IO158" s="226"/>
      <c r="IP158" s="226"/>
      <c r="IQ158" s="226"/>
      <c r="IR158" s="226"/>
      <c r="IS158" s="226"/>
      <c r="IT158" s="226"/>
      <c r="IU158" s="226"/>
      <c r="IV158" s="226"/>
      <c r="IW158" s="227"/>
      <c r="IX158" s="230"/>
      <c r="IY158" s="225"/>
      <c r="IZ158" s="226"/>
      <c r="JA158" s="226"/>
      <c r="JB158" s="226"/>
      <c r="JC158" s="226"/>
      <c r="JD158" s="226"/>
      <c r="JE158" s="226"/>
      <c r="JF158" s="226"/>
      <c r="JG158" s="226"/>
      <c r="JH158" s="226"/>
      <c r="JI158" s="226"/>
      <c r="JJ158" s="226"/>
      <c r="JK158" s="226"/>
      <c r="JL158" s="226"/>
      <c r="JM158" s="226"/>
      <c r="JN158" s="226"/>
      <c r="JO158" s="226"/>
      <c r="JP158" s="226"/>
      <c r="JQ158" s="226"/>
      <c r="JR158" s="226"/>
      <c r="JS158" s="226"/>
      <c r="JT158" s="226"/>
      <c r="JU158" s="226"/>
      <c r="JV158" s="226"/>
      <c r="JW158" s="226"/>
      <c r="JX158" s="226"/>
      <c r="JY158" s="226"/>
      <c r="JZ158" s="226"/>
      <c r="KA158" s="227"/>
      <c r="KB158" s="228"/>
      <c r="KC158" s="226"/>
      <c r="KD158" s="226"/>
      <c r="KE158" s="226"/>
      <c r="KF158" s="226"/>
      <c r="KG158" s="226"/>
    </row>
    <row r="159" customFormat="false" ht="22.5" hidden="false" customHeight="true" outlineLevel="1" collapsed="false">
      <c r="B159" s="75" t="s">
        <v>437</v>
      </c>
      <c r="C159" s="217" t="s">
        <v>438</v>
      </c>
      <c r="D159" s="244" t="s">
        <v>439</v>
      </c>
      <c r="E159" s="218" t="n">
        <v>2</v>
      </c>
      <c r="F159" s="219" t="n">
        <v>0</v>
      </c>
      <c r="G159" s="220" t="n">
        <f aca="false">E159-F159</f>
        <v>2</v>
      </c>
      <c r="H159" s="221" t="n">
        <v>4</v>
      </c>
      <c r="I159" s="222" t="s">
        <v>440</v>
      </c>
      <c r="J159" s="149" t="n">
        <v>46317</v>
      </c>
      <c r="K159" s="144" t="n">
        <v>46320</v>
      </c>
      <c r="L159" s="143" t="n">
        <f aca="false">K159-J159</f>
        <v>3</v>
      </c>
      <c r="M159" s="224" t="n">
        <f aca="false">IFERROR(F159/E159,"")</f>
        <v>0</v>
      </c>
      <c r="N159" s="225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7"/>
      <c r="AK159" s="228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 s="226"/>
      <c r="BI159" s="226"/>
      <c r="BJ159" s="226"/>
      <c r="BK159" s="226"/>
      <c r="BL159" s="226"/>
      <c r="BM159" s="226"/>
      <c r="BN159" s="227"/>
      <c r="BO159" s="228"/>
      <c r="BP159" s="226"/>
      <c r="BQ159" s="226"/>
      <c r="BR159" s="226"/>
      <c r="BS159" s="226"/>
      <c r="BT159" s="226"/>
      <c r="BU159" s="226"/>
      <c r="BV159" s="226"/>
      <c r="BW159" s="226"/>
      <c r="BX159" s="226"/>
      <c r="BY159" s="226"/>
      <c r="BZ159" s="226"/>
      <c r="CA159" s="226"/>
      <c r="CB159" s="226"/>
      <c r="CC159" s="226"/>
      <c r="CD159" s="226"/>
      <c r="CE159" s="226"/>
      <c r="CF159" s="226"/>
      <c r="CG159" s="226"/>
      <c r="CH159" s="226"/>
      <c r="CI159" s="226"/>
      <c r="CJ159" s="226"/>
      <c r="CK159" s="226"/>
      <c r="CL159" s="226"/>
      <c r="CM159" s="226"/>
      <c r="CN159" s="226"/>
      <c r="CO159" s="226"/>
      <c r="CP159" s="226"/>
      <c r="CQ159" s="226"/>
      <c r="CR159" s="226"/>
      <c r="CS159" s="229"/>
      <c r="CT159" s="228"/>
      <c r="CU159" s="226"/>
      <c r="CV159" s="226"/>
      <c r="CW159" s="226"/>
      <c r="CX159" s="226"/>
      <c r="CY159" s="226"/>
      <c r="CZ159" s="226"/>
      <c r="DA159" s="226"/>
      <c r="DB159" s="226"/>
      <c r="DC159" s="226"/>
      <c r="DD159" s="226"/>
      <c r="DE159" s="226"/>
      <c r="DF159" s="226"/>
      <c r="DG159" s="226"/>
      <c r="DH159" s="226"/>
      <c r="DI159" s="226"/>
      <c r="DJ159" s="226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30"/>
      <c r="DV159" s="225"/>
      <c r="DW159" s="226"/>
      <c r="DX159" s="226"/>
      <c r="DY159" s="226"/>
      <c r="DZ159" s="226"/>
      <c r="EA159" s="226"/>
      <c r="EB159" s="226"/>
      <c r="EC159" s="226"/>
      <c r="ED159" s="227"/>
      <c r="EE159" s="228"/>
      <c r="EF159" s="226"/>
      <c r="EG159" s="226"/>
      <c r="EH159" s="226"/>
      <c r="EI159" s="226"/>
      <c r="EJ159" s="226"/>
      <c r="EK159" s="226"/>
      <c r="EL159" s="226"/>
      <c r="EM159" s="226"/>
      <c r="EN159" s="226"/>
      <c r="EO159" s="226"/>
      <c r="EP159" s="226"/>
      <c r="EQ159" s="226"/>
      <c r="ER159" s="226"/>
      <c r="ES159" s="226"/>
      <c r="ET159" s="226"/>
      <c r="EU159" s="226"/>
      <c r="EV159" s="226"/>
      <c r="EW159" s="226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226"/>
      <c r="FH159" s="226"/>
      <c r="FI159" s="227"/>
      <c r="FJ159" s="228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226"/>
      <c r="FU159" s="226"/>
      <c r="FV159" s="226"/>
      <c r="FW159" s="226"/>
      <c r="FX159" s="226"/>
      <c r="FY159" s="226"/>
      <c r="FZ159" s="226"/>
      <c r="GA159" s="226"/>
      <c r="GB159" s="226"/>
      <c r="GC159" s="226"/>
      <c r="GD159" s="226"/>
      <c r="GE159" s="226"/>
      <c r="GF159" s="226"/>
      <c r="GG159" s="226"/>
      <c r="GH159" s="226"/>
      <c r="GI159" s="226"/>
      <c r="GJ159" s="226"/>
      <c r="GK159" s="226"/>
      <c r="GL159" s="226"/>
      <c r="GM159" s="226"/>
      <c r="GN159" s="227"/>
      <c r="GO159" s="228"/>
      <c r="GP159" s="226"/>
      <c r="GQ159" s="226"/>
      <c r="GR159" s="226"/>
      <c r="GS159" s="226"/>
      <c r="GT159" s="226"/>
      <c r="GU159" s="226"/>
      <c r="GV159" s="226"/>
      <c r="GW159" s="226"/>
      <c r="GX159" s="226"/>
      <c r="GY159" s="226"/>
      <c r="GZ159" s="226"/>
      <c r="HA159" s="226"/>
      <c r="HB159" s="226"/>
      <c r="HC159" s="226"/>
      <c r="HD159" s="226"/>
      <c r="HE159" s="226"/>
      <c r="HF159" s="226"/>
      <c r="HG159" s="226"/>
      <c r="HH159" s="226"/>
      <c r="HI159" s="226"/>
      <c r="HJ159" s="226"/>
      <c r="HK159" s="226"/>
      <c r="HL159" s="226"/>
      <c r="HM159" s="226"/>
      <c r="HN159" s="226"/>
      <c r="HO159" s="230"/>
      <c r="HP159" s="225"/>
      <c r="HQ159" s="226"/>
      <c r="HR159" s="227"/>
      <c r="HS159" s="228"/>
      <c r="HT159" s="226"/>
      <c r="HU159" s="226"/>
      <c r="HV159" s="226"/>
      <c r="HW159" s="226"/>
      <c r="HX159" s="226"/>
      <c r="HY159" s="226"/>
      <c r="HZ159" s="226"/>
      <c r="IA159" s="226"/>
      <c r="IB159" s="226"/>
      <c r="IC159" s="226"/>
      <c r="ID159" s="226"/>
      <c r="IE159" s="226"/>
      <c r="IF159" s="226"/>
      <c r="IG159" s="226"/>
      <c r="IH159" s="226"/>
      <c r="II159" s="226"/>
      <c r="IJ159" s="226"/>
      <c r="IK159" s="226"/>
      <c r="IL159" s="226"/>
      <c r="IM159" s="226"/>
      <c r="IN159" s="226"/>
      <c r="IO159" s="226"/>
      <c r="IP159" s="226"/>
      <c r="IQ159" s="226"/>
      <c r="IR159" s="226"/>
      <c r="IS159" s="226"/>
      <c r="IT159" s="226"/>
      <c r="IU159" s="226"/>
      <c r="IV159" s="226"/>
      <c r="IW159" s="227"/>
      <c r="IX159" s="230"/>
      <c r="IY159" s="225"/>
      <c r="IZ159" s="226"/>
      <c r="JA159" s="226"/>
      <c r="JB159" s="226"/>
      <c r="JC159" s="226"/>
      <c r="JD159" s="226"/>
      <c r="JE159" s="226"/>
      <c r="JF159" s="226"/>
      <c r="JG159" s="226"/>
      <c r="JH159" s="226"/>
      <c r="JI159" s="226"/>
      <c r="JJ159" s="226"/>
      <c r="JK159" s="226"/>
      <c r="JL159" s="226"/>
      <c r="JM159" s="226"/>
      <c r="JN159" s="226"/>
      <c r="JO159" s="226"/>
      <c r="JP159" s="226"/>
      <c r="JQ159" s="226"/>
      <c r="JR159" s="226"/>
      <c r="JS159" s="226"/>
      <c r="JT159" s="226"/>
      <c r="JU159" s="226"/>
      <c r="JV159" s="226"/>
      <c r="JW159" s="226"/>
      <c r="JX159" s="226"/>
      <c r="JY159" s="226"/>
      <c r="JZ159" s="226"/>
      <c r="KA159" s="227"/>
      <c r="KB159" s="228"/>
      <c r="KC159" s="226"/>
      <c r="KD159" s="226"/>
      <c r="KE159" s="226"/>
      <c r="KF159" s="226"/>
      <c r="KG159" s="226"/>
    </row>
    <row r="160" customFormat="false" ht="22.5" hidden="false" customHeight="true" outlineLevel="1" collapsed="false">
      <c r="B160" s="75" t="s">
        <v>441</v>
      </c>
      <c r="C160" s="217" t="s">
        <v>442</v>
      </c>
      <c r="D160" s="244" t="s">
        <v>87</v>
      </c>
      <c r="E160" s="218" t="n">
        <v>2</v>
      </c>
      <c r="F160" s="219" t="n">
        <v>0</v>
      </c>
      <c r="G160" s="220" t="n">
        <f aca="false">E160-F160</f>
        <v>2</v>
      </c>
      <c r="H160" s="221" t="n">
        <v>4</v>
      </c>
      <c r="I160" s="222" t="n">
        <v>7.12</v>
      </c>
      <c r="J160" s="149" t="n">
        <v>46320</v>
      </c>
      <c r="K160" s="144" t="n">
        <v>46322</v>
      </c>
      <c r="L160" s="143" t="n">
        <f aca="false">K160-J160</f>
        <v>2</v>
      </c>
      <c r="M160" s="224" t="n">
        <f aca="false">IFERROR(F160/E160,"")</f>
        <v>0</v>
      </c>
      <c r="N160" s="225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7"/>
      <c r="AK160" s="228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 s="226"/>
      <c r="BI160" s="226"/>
      <c r="BJ160" s="226"/>
      <c r="BK160" s="226"/>
      <c r="BL160" s="226"/>
      <c r="BM160" s="226"/>
      <c r="BN160" s="227"/>
      <c r="BO160" s="228"/>
      <c r="BP160" s="226"/>
      <c r="BQ160" s="226"/>
      <c r="BR160" s="226"/>
      <c r="BS160" s="226"/>
      <c r="BT160" s="226"/>
      <c r="BU160" s="226"/>
      <c r="BV160" s="226"/>
      <c r="BW160" s="226"/>
      <c r="BX160" s="226"/>
      <c r="BY160" s="226"/>
      <c r="BZ160" s="226"/>
      <c r="CA160" s="226"/>
      <c r="CB160" s="226"/>
      <c r="CC160" s="226"/>
      <c r="CD160" s="226"/>
      <c r="CE160" s="226"/>
      <c r="CF160" s="226"/>
      <c r="CG160" s="226"/>
      <c r="CH160" s="226"/>
      <c r="CI160" s="226"/>
      <c r="CJ160" s="226"/>
      <c r="CK160" s="226"/>
      <c r="CL160" s="226"/>
      <c r="CM160" s="226"/>
      <c r="CN160" s="226"/>
      <c r="CO160" s="226"/>
      <c r="CP160" s="226"/>
      <c r="CQ160" s="226"/>
      <c r="CR160" s="226"/>
      <c r="CS160" s="229"/>
      <c r="CT160" s="228"/>
      <c r="CU160" s="226"/>
      <c r="CV160" s="226"/>
      <c r="CW160" s="226"/>
      <c r="CX160" s="226"/>
      <c r="CY160" s="226"/>
      <c r="CZ160" s="226"/>
      <c r="DA160" s="226"/>
      <c r="DB160" s="226"/>
      <c r="DC160" s="226"/>
      <c r="DD160" s="226"/>
      <c r="DE160" s="226"/>
      <c r="DF160" s="226"/>
      <c r="DG160" s="226"/>
      <c r="DH160" s="226"/>
      <c r="DI160" s="226"/>
      <c r="DJ160" s="226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30"/>
      <c r="DV160" s="225"/>
      <c r="DW160" s="226"/>
      <c r="DX160" s="226"/>
      <c r="DY160" s="226"/>
      <c r="DZ160" s="226"/>
      <c r="EA160" s="226"/>
      <c r="EB160" s="226"/>
      <c r="EC160" s="226"/>
      <c r="ED160" s="227"/>
      <c r="EE160" s="228"/>
      <c r="EF160" s="226"/>
      <c r="EG160" s="226"/>
      <c r="EH160" s="226"/>
      <c r="EI160" s="226"/>
      <c r="EJ160" s="226"/>
      <c r="EK160" s="226"/>
      <c r="EL160" s="226"/>
      <c r="EM160" s="226"/>
      <c r="EN160" s="226"/>
      <c r="EO160" s="226"/>
      <c r="EP160" s="226"/>
      <c r="EQ160" s="226"/>
      <c r="ER160" s="226"/>
      <c r="ES160" s="226"/>
      <c r="ET160" s="226"/>
      <c r="EU160" s="226"/>
      <c r="EV160" s="226"/>
      <c r="EW160" s="226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226"/>
      <c r="FH160" s="226"/>
      <c r="FI160" s="227"/>
      <c r="FJ160" s="228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226"/>
      <c r="FU160" s="226"/>
      <c r="FV160" s="226"/>
      <c r="FW160" s="226"/>
      <c r="FX160" s="226"/>
      <c r="FY160" s="226"/>
      <c r="FZ160" s="226"/>
      <c r="GA160" s="226"/>
      <c r="GB160" s="226"/>
      <c r="GC160" s="226"/>
      <c r="GD160" s="226"/>
      <c r="GE160" s="226"/>
      <c r="GF160" s="226"/>
      <c r="GG160" s="226"/>
      <c r="GH160" s="226"/>
      <c r="GI160" s="226"/>
      <c r="GJ160" s="226"/>
      <c r="GK160" s="226"/>
      <c r="GL160" s="226"/>
      <c r="GM160" s="226"/>
      <c r="GN160" s="227"/>
      <c r="GO160" s="228"/>
      <c r="GP160" s="226"/>
      <c r="GQ160" s="226"/>
      <c r="GR160" s="226"/>
      <c r="GS160" s="226"/>
      <c r="GT160" s="226"/>
      <c r="GU160" s="226"/>
      <c r="GV160" s="226"/>
      <c r="GW160" s="226"/>
      <c r="GX160" s="226"/>
      <c r="GY160" s="226"/>
      <c r="GZ160" s="226"/>
      <c r="HA160" s="226"/>
      <c r="HB160" s="226"/>
      <c r="HC160" s="226"/>
      <c r="HD160" s="226"/>
      <c r="HE160" s="226"/>
      <c r="HF160" s="226"/>
      <c r="HG160" s="226"/>
      <c r="HH160" s="226"/>
      <c r="HI160" s="226"/>
      <c r="HJ160" s="226"/>
      <c r="HK160" s="226"/>
      <c r="HL160" s="226"/>
      <c r="HM160" s="226"/>
      <c r="HN160" s="226"/>
      <c r="HO160" s="230"/>
      <c r="HP160" s="225"/>
      <c r="HQ160" s="226"/>
      <c r="HR160" s="227"/>
      <c r="HS160" s="228"/>
      <c r="HT160" s="226"/>
      <c r="HU160" s="226"/>
      <c r="HV160" s="226"/>
      <c r="HW160" s="226"/>
      <c r="HX160" s="226"/>
      <c r="HY160" s="226"/>
      <c r="HZ160" s="226"/>
      <c r="IA160" s="226"/>
      <c r="IB160" s="226"/>
      <c r="IC160" s="226"/>
      <c r="ID160" s="226"/>
      <c r="IE160" s="226"/>
      <c r="IF160" s="226"/>
      <c r="IG160" s="226"/>
      <c r="IH160" s="226"/>
      <c r="II160" s="226"/>
      <c r="IJ160" s="226"/>
      <c r="IK160" s="226"/>
      <c r="IL160" s="226"/>
      <c r="IM160" s="226"/>
      <c r="IN160" s="226"/>
      <c r="IO160" s="226"/>
      <c r="IP160" s="226"/>
      <c r="IQ160" s="226"/>
      <c r="IR160" s="226"/>
      <c r="IS160" s="226"/>
      <c r="IT160" s="226"/>
      <c r="IU160" s="226"/>
      <c r="IV160" s="226"/>
      <c r="IW160" s="227"/>
      <c r="IX160" s="230"/>
      <c r="IY160" s="225"/>
      <c r="IZ160" s="226"/>
      <c r="JA160" s="226"/>
      <c r="JB160" s="226"/>
      <c r="JC160" s="226"/>
      <c r="JD160" s="226"/>
      <c r="JE160" s="226"/>
      <c r="JF160" s="226"/>
      <c r="JG160" s="226"/>
      <c r="JH160" s="226"/>
      <c r="JI160" s="226"/>
      <c r="JJ160" s="226"/>
      <c r="JK160" s="226"/>
      <c r="JL160" s="226"/>
      <c r="JM160" s="226"/>
      <c r="JN160" s="226"/>
      <c r="JO160" s="226"/>
      <c r="JP160" s="226"/>
      <c r="JQ160" s="226"/>
      <c r="JR160" s="226"/>
      <c r="JS160" s="226"/>
      <c r="JT160" s="226"/>
      <c r="JU160" s="226"/>
      <c r="JV160" s="226"/>
      <c r="JW160" s="226"/>
      <c r="JX160" s="226"/>
      <c r="JY160" s="226"/>
      <c r="JZ160" s="226"/>
      <c r="KA160" s="227"/>
      <c r="KB160" s="228"/>
      <c r="KC160" s="226"/>
      <c r="KD160" s="226"/>
      <c r="KE160" s="226"/>
      <c r="KF160" s="226"/>
      <c r="KG160" s="226"/>
    </row>
    <row r="161" customFormat="false" ht="22.5" hidden="false" customHeight="true" outlineLevel="1" collapsed="false">
      <c r="B161" s="75" t="s">
        <v>443</v>
      </c>
      <c r="C161" s="217" t="s">
        <v>444</v>
      </c>
      <c r="D161" s="244" t="s">
        <v>342</v>
      </c>
      <c r="E161" s="218" t="n">
        <v>2</v>
      </c>
      <c r="F161" s="219" t="n">
        <v>0</v>
      </c>
      <c r="G161" s="220" t="n">
        <f aca="false">E161-F161</f>
        <v>2</v>
      </c>
      <c r="H161" s="221" t="n">
        <v>5</v>
      </c>
      <c r="I161" s="222" t="n">
        <v>7.13</v>
      </c>
      <c r="J161" s="149" t="n">
        <v>46322</v>
      </c>
      <c r="K161" s="144" t="n">
        <v>46324</v>
      </c>
      <c r="L161" s="143" t="n">
        <f aca="false">K161-J161</f>
        <v>2</v>
      </c>
      <c r="M161" s="224" t="n">
        <f aca="false">IFERROR(F161/E161,"")</f>
        <v>0</v>
      </c>
      <c r="N161" s="225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7"/>
      <c r="AK161" s="228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 s="226"/>
      <c r="BI161" s="226"/>
      <c r="BJ161" s="226"/>
      <c r="BK161" s="226"/>
      <c r="BL161" s="226"/>
      <c r="BM161" s="226"/>
      <c r="BN161" s="227"/>
      <c r="BO161" s="228"/>
      <c r="BP161" s="226"/>
      <c r="BQ161" s="226"/>
      <c r="BR161" s="226"/>
      <c r="BS161" s="226"/>
      <c r="BT161" s="226"/>
      <c r="BU161" s="226"/>
      <c r="BV161" s="226"/>
      <c r="BW161" s="226"/>
      <c r="BX161" s="226"/>
      <c r="BY161" s="226"/>
      <c r="BZ161" s="226"/>
      <c r="CA161" s="226"/>
      <c r="CB161" s="226"/>
      <c r="CC161" s="226"/>
      <c r="CD161" s="226"/>
      <c r="CE161" s="226"/>
      <c r="CF161" s="226"/>
      <c r="CG161" s="226"/>
      <c r="CH161" s="226"/>
      <c r="CI161" s="226"/>
      <c r="CJ161" s="226"/>
      <c r="CK161" s="226"/>
      <c r="CL161" s="226"/>
      <c r="CM161" s="226"/>
      <c r="CN161" s="226"/>
      <c r="CO161" s="226"/>
      <c r="CP161" s="226"/>
      <c r="CQ161" s="226"/>
      <c r="CR161" s="226"/>
      <c r="CS161" s="229"/>
      <c r="CT161" s="228"/>
      <c r="CU161" s="226"/>
      <c r="CV161" s="226"/>
      <c r="CW161" s="226"/>
      <c r="CX161" s="226"/>
      <c r="CY161" s="226"/>
      <c r="CZ161" s="226"/>
      <c r="DA161" s="226"/>
      <c r="DB161" s="226"/>
      <c r="DC161" s="226"/>
      <c r="DD161" s="226"/>
      <c r="DE161" s="226"/>
      <c r="DF161" s="226"/>
      <c r="DG161" s="226"/>
      <c r="DH161" s="226"/>
      <c r="DI161" s="226"/>
      <c r="DJ161" s="226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30"/>
      <c r="DV161" s="225"/>
      <c r="DW161" s="226"/>
      <c r="DX161" s="226"/>
      <c r="DY161" s="226"/>
      <c r="DZ161" s="226"/>
      <c r="EA161" s="226"/>
      <c r="EB161" s="226"/>
      <c r="EC161" s="226"/>
      <c r="ED161" s="227"/>
      <c r="EE161" s="228"/>
      <c r="EF161" s="226"/>
      <c r="EG161" s="226"/>
      <c r="EH161" s="226"/>
      <c r="EI161" s="226"/>
      <c r="EJ161" s="226"/>
      <c r="EK161" s="226"/>
      <c r="EL161" s="226"/>
      <c r="EM161" s="226"/>
      <c r="EN161" s="226"/>
      <c r="EO161" s="226"/>
      <c r="EP161" s="226"/>
      <c r="EQ161" s="226"/>
      <c r="ER161" s="226"/>
      <c r="ES161" s="226"/>
      <c r="ET161" s="226"/>
      <c r="EU161" s="226"/>
      <c r="EV161" s="226"/>
      <c r="EW161" s="226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226"/>
      <c r="FH161" s="226"/>
      <c r="FI161" s="227"/>
      <c r="FJ161" s="228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226"/>
      <c r="FU161" s="226"/>
      <c r="FV161" s="226"/>
      <c r="FW161" s="226"/>
      <c r="FX161" s="226"/>
      <c r="FY161" s="226"/>
      <c r="FZ161" s="226"/>
      <c r="GA161" s="226"/>
      <c r="GB161" s="226"/>
      <c r="GC161" s="226"/>
      <c r="GD161" s="226"/>
      <c r="GE161" s="226"/>
      <c r="GF161" s="226"/>
      <c r="GG161" s="226"/>
      <c r="GH161" s="226"/>
      <c r="GI161" s="226"/>
      <c r="GJ161" s="226"/>
      <c r="GK161" s="226"/>
      <c r="GL161" s="226"/>
      <c r="GM161" s="226"/>
      <c r="GN161" s="227"/>
      <c r="GO161" s="228"/>
      <c r="GP161" s="226"/>
      <c r="GQ161" s="226"/>
      <c r="GR161" s="226"/>
      <c r="GS161" s="226"/>
      <c r="GT161" s="226"/>
      <c r="GU161" s="226"/>
      <c r="GV161" s="226"/>
      <c r="GW161" s="226"/>
      <c r="GX161" s="226"/>
      <c r="GY161" s="226"/>
      <c r="GZ161" s="226"/>
      <c r="HA161" s="226"/>
      <c r="HB161" s="226"/>
      <c r="HC161" s="226"/>
      <c r="HD161" s="226"/>
      <c r="HE161" s="226"/>
      <c r="HF161" s="226"/>
      <c r="HG161" s="226"/>
      <c r="HH161" s="226"/>
      <c r="HI161" s="226"/>
      <c r="HJ161" s="226"/>
      <c r="HK161" s="226"/>
      <c r="HL161" s="226"/>
      <c r="HM161" s="226"/>
      <c r="HN161" s="226"/>
      <c r="HO161" s="230"/>
      <c r="HP161" s="225"/>
      <c r="HQ161" s="226"/>
      <c r="HR161" s="227"/>
      <c r="HS161" s="228"/>
      <c r="HT161" s="226"/>
      <c r="HU161" s="226"/>
      <c r="HV161" s="226"/>
      <c r="HW161" s="226"/>
      <c r="HX161" s="226"/>
      <c r="HY161" s="226"/>
      <c r="HZ161" s="226"/>
      <c r="IA161" s="226"/>
      <c r="IB161" s="226"/>
      <c r="IC161" s="226"/>
      <c r="ID161" s="226"/>
      <c r="IE161" s="226"/>
      <c r="IF161" s="226"/>
      <c r="IG161" s="226"/>
      <c r="IH161" s="226"/>
      <c r="II161" s="226"/>
      <c r="IJ161" s="226"/>
      <c r="IK161" s="226"/>
      <c r="IL161" s="226"/>
      <c r="IM161" s="226"/>
      <c r="IN161" s="226"/>
      <c r="IO161" s="226"/>
      <c r="IP161" s="226"/>
      <c r="IQ161" s="226"/>
      <c r="IR161" s="226"/>
      <c r="IS161" s="226"/>
      <c r="IT161" s="226"/>
      <c r="IU161" s="226"/>
      <c r="IV161" s="226"/>
      <c r="IW161" s="227"/>
      <c r="IX161" s="230"/>
      <c r="IY161" s="225"/>
      <c r="IZ161" s="226"/>
      <c r="JA161" s="226"/>
      <c r="JB161" s="226"/>
      <c r="JC161" s="226"/>
      <c r="JD161" s="226"/>
      <c r="JE161" s="226"/>
      <c r="JF161" s="226"/>
      <c r="JG161" s="226"/>
      <c r="JH161" s="226"/>
      <c r="JI161" s="226"/>
      <c r="JJ161" s="226"/>
      <c r="JK161" s="226"/>
      <c r="JL161" s="226"/>
      <c r="JM161" s="226"/>
      <c r="JN161" s="226"/>
      <c r="JO161" s="226"/>
      <c r="JP161" s="226"/>
      <c r="JQ161" s="226"/>
      <c r="JR161" s="226"/>
      <c r="JS161" s="226"/>
      <c r="JT161" s="226"/>
      <c r="JU161" s="226"/>
      <c r="JV161" s="226"/>
      <c r="JW161" s="226"/>
      <c r="JX161" s="226"/>
      <c r="JY161" s="226"/>
      <c r="JZ161" s="226"/>
      <c r="KA161" s="227"/>
      <c r="KB161" s="228"/>
      <c r="KC161" s="226"/>
      <c r="KD161" s="226"/>
      <c r="KE161" s="226"/>
      <c r="KF161" s="226"/>
      <c r="KG161" s="226"/>
    </row>
    <row r="162" customFormat="false" ht="22.5" hidden="false" customHeight="true" outlineLevel="1" collapsed="false">
      <c r="B162" s="106" t="s">
        <v>445</v>
      </c>
      <c r="C162" s="233" t="s">
        <v>446</v>
      </c>
      <c r="D162" s="246" t="s">
        <v>447</v>
      </c>
      <c r="E162" s="151" t="n">
        <v>2</v>
      </c>
      <c r="F162" s="152" t="n">
        <v>0</v>
      </c>
      <c r="G162" s="153" t="n">
        <f aca="false">E162-F162</f>
        <v>2</v>
      </c>
      <c r="H162" s="154" t="n">
        <v>5</v>
      </c>
      <c r="I162" s="234" t="n">
        <v>7.14</v>
      </c>
      <c r="J162" s="247" t="n">
        <v>46324</v>
      </c>
      <c r="K162" s="248" t="n">
        <v>46326</v>
      </c>
      <c r="L162" s="156" t="n">
        <f aca="false">K162-J162</f>
        <v>2</v>
      </c>
      <c r="M162" s="157" t="n">
        <f aca="false">IFERROR(F162/E162,"")</f>
        <v>0</v>
      </c>
      <c r="N162" s="235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7"/>
      <c r="AK162" s="238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236"/>
      <c r="BG162" s="236"/>
      <c r="BH162" s="236"/>
      <c r="BI162" s="236"/>
      <c r="BJ162" s="236"/>
      <c r="BK162" s="236"/>
      <c r="BL162" s="236"/>
      <c r="BM162" s="236"/>
      <c r="BN162" s="237"/>
      <c r="BO162" s="238"/>
      <c r="BP162" s="236"/>
      <c r="BQ162" s="236"/>
      <c r="BR162" s="236"/>
      <c r="BS162" s="236"/>
      <c r="BT162" s="236"/>
      <c r="BU162" s="236"/>
      <c r="BV162" s="236"/>
      <c r="BW162" s="236"/>
      <c r="BX162" s="236"/>
      <c r="BY162" s="236"/>
      <c r="BZ162" s="236"/>
      <c r="CA162" s="236"/>
      <c r="CB162" s="236"/>
      <c r="CC162" s="236"/>
      <c r="CD162" s="236"/>
      <c r="CE162" s="236"/>
      <c r="CF162" s="236"/>
      <c r="CG162" s="236"/>
      <c r="CH162" s="236"/>
      <c r="CI162" s="236"/>
      <c r="CJ162" s="236"/>
      <c r="CK162" s="236"/>
      <c r="CL162" s="236"/>
      <c r="CM162" s="236"/>
      <c r="CN162" s="236"/>
      <c r="CO162" s="236"/>
      <c r="CP162" s="236"/>
      <c r="CQ162" s="236"/>
      <c r="CR162" s="236"/>
      <c r="CS162" s="239"/>
      <c r="CT162" s="238"/>
      <c r="CU162" s="236"/>
      <c r="CV162" s="236"/>
      <c r="CW162" s="236"/>
      <c r="CX162" s="236"/>
      <c r="CY162" s="236"/>
      <c r="CZ162" s="236"/>
      <c r="DA162" s="236"/>
      <c r="DB162" s="236"/>
      <c r="DC162" s="236"/>
      <c r="DD162" s="236"/>
      <c r="DE162" s="236"/>
      <c r="DF162" s="236"/>
      <c r="DG162" s="236"/>
      <c r="DH162" s="236"/>
      <c r="DI162" s="236"/>
      <c r="DJ162" s="236"/>
      <c r="DK162" s="236"/>
      <c r="DL162" s="236"/>
      <c r="DM162" s="236"/>
      <c r="DN162" s="236"/>
      <c r="DO162" s="236"/>
      <c r="DP162" s="236"/>
      <c r="DQ162" s="236"/>
      <c r="DR162" s="236"/>
      <c r="DS162" s="236"/>
      <c r="DT162" s="236"/>
      <c r="DU162" s="240"/>
      <c r="DV162" s="235"/>
      <c r="DW162" s="236"/>
      <c r="DX162" s="236"/>
      <c r="DY162" s="236"/>
      <c r="DZ162" s="236"/>
      <c r="EA162" s="236"/>
      <c r="EB162" s="236"/>
      <c r="EC162" s="236"/>
      <c r="ED162" s="237"/>
      <c r="EE162" s="238"/>
      <c r="EF162" s="236"/>
      <c r="EG162" s="236"/>
      <c r="EH162" s="236"/>
      <c r="EI162" s="236"/>
      <c r="EJ162" s="236"/>
      <c r="EK162" s="236"/>
      <c r="EL162" s="236"/>
      <c r="EM162" s="236"/>
      <c r="EN162" s="236"/>
      <c r="EO162" s="236"/>
      <c r="EP162" s="236"/>
      <c r="EQ162" s="236"/>
      <c r="ER162" s="236"/>
      <c r="ES162" s="236"/>
      <c r="ET162" s="236"/>
      <c r="EU162" s="236"/>
      <c r="EV162" s="236"/>
      <c r="EW162" s="236"/>
      <c r="EX162" s="236"/>
      <c r="EY162" s="236"/>
      <c r="EZ162" s="236"/>
      <c r="FA162" s="236"/>
      <c r="FB162" s="236"/>
      <c r="FC162" s="236"/>
      <c r="FD162" s="236"/>
      <c r="FE162" s="236"/>
      <c r="FF162" s="236"/>
      <c r="FG162" s="236"/>
      <c r="FH162" s="236"/>
      <c r="FI162" s="237"/>
      <c r="FJ162" s="238"/>
      <c r="FK162" s="236"/>
      <c r="FL162" s="236"/>
      <c r="FM162" s="236"/>
      <c r="FN162" s="236"/>
      <c r="FO162" s="236"/>
      <c r="FP162" s="236"/>
      <c r="FQ162" s="236"/>
      <c r="FR162" s="236"/>
      <c r="FS162" s="236"/>
      <c r="FT162" s="236"/>
      <c r="FU162" s="236"/>
      <c r="FV162" s="236"/>
      <c r="FW162" s="236"/>
      <c r="FX162" s="236"/>
      <c r="FY162" s="236"/>
      <c r="FZ162" s="236"/>
      <c r="GA162" s="236"/>
      <c r="GB162" s="236"/>
      <c r="GC162" s="236"/>
      <c r="GD162" s="236"/>
      <c r="GE162" s="236"/>
      <c r="GF162" s="236"/>
      <c r="GG162" s="236"/>
      <c r="GH162" s="236"/>
      <c r="GI162" s="236"/>
      <c r="GJ162" s="236"/>
      <c r="GK162" s="236"/>
      <c r="GL162" s="236"/>
      <c r="GM162" s="236"/>
      <c r="GN162" s="237"/>
      <c r="GO162" s="238"/>
      <c r="GP162" s="236"/>
      <c r="GQ162" s="236"/>
      <c r="GR162" s="236"/>
      <c r="GS162" s="236"/>
      <c r="GT162" s="236"/>
      <c r="GU162" s="236"/>
      <c r="GV162" s="236"/>
      <c r="GW162" s="236"/>
      <c r="GX162" s="236"/>
      <c r="GY162" s="236"/>
      <c r="GZ162" s="236"/>
      <c r="HA162" s="236"/>
      <c r="HB162" s="236"/>
      <c r="HC162" s="236"/>
      <c r="HD162" s="236"/>
      <c r="HE162" s="236"/>
      <c r="HF162" s="236"/>
      <c r="HG162" s="236"/>
      <c r="HH162" s="236"/>
      <c r="HI162" s="236"/>
      <c r="HJ162" s="236"/>
      <c r="HK162" s="236"/>
      <c r="HL162" s="236"/>
      <c r="HM162" s="236"/>
      <c r="HN162" s="236"/>
      <c r="HO162" s="240"/>
      <c r="HP162" s="235"/>
      <c r="HQ162" s="236"/>
      <c r="HR162" s="237"/>
      <c r="HS162" s="238"/>
      <c r="HT162" s="236"/>
      <c r="HU162" s="236"/>
      <c r="HV162" s="236"/>
      <c r="HW162" s="236"/>
      <c r="HX162" s="236"/>
      <c r="HY162" s="236"/>
      <c r="HZ162" s="236"/>
      <c r="IA162" s="236"/>
      <c r="IB162" s="236"/>
      <c r="IC162" s="236"/>
      <c r="ID162" s="236"/>
      <c r="IE162" s="236"/>
      <c r="IF162" s="236"/>
      <c r="IG162" s="236"/>
      <c r="IH162" s="236"/>
      <c r="II162" s="236"/>
      <c r="IJ162" s="236"/>
      <c r="IK162" s="236"/>
      <c r="IL162" s="236"/>
      <c r="IM162" s="236"/>
      <c r="IN162" s="236"/>
      <c r="IO162" s="236"/>
      <c r="IP162" s="236"/>
      <c r="IQ162" s="236"/>
      <c r="IR162" s="236"/>
      <c r="IS162" s="236"/>
      <c r="IT162" s="236"/>
      <c r="IU162" s="236"/>
      <c r="IV162" s="236"/>
      <c r="IW162" s="237"/>
      <c r="IX162" s="240"/>
      <c r="IY162" s="235"/>
      <c r="IZ162" s="236"/>
      <c r="JA162" s="236"/>
      <c r="JB162" s="236"/>
      <c r="JC162" s="236"/>
      <c r="JD162" s="236"/>
      <c r="JE162" s="236"/>
      <c r="JF162" s="236"/>
      <c r="JG162" s="236"/>
      <c r="JH162" s="236"/>
      <c r="JI162" s="236"/>
      <c r="JJ162" s="236"/>
      <c r="JK162" s="236"/>
      <c r="JL162" s="236"/>
      <c r="JM162" s="236"/>
      <c r="JN162" s="236"/>
      <c r="JO162" s="236"/>
      <c r="JP162" s="236"/>
      <c r="JQ162" s="236"/>
      <c r="JR162" s="236"/>
      <c r="JS162" s="236"/>
      <c r="JT162" s="236"/>
      <c r="JU162" s="236"/>
      <c r="JV162" s="236"/>
      <c r="JW162" s="236"/>
      <c r="JX162" s="236"/>
      <c r="JY162" s="236"/>
      <c r="JZ162" s="236"/>
      <c r="KA162" s="237"/>
      <c r="KB162" s="238"/>
      <c r="KC162" s="236"/>
      <c r="KD162" s="236"/>
      <c r="KE162" s="236"/>
      <c r="KF162" s="236"/>
      <c r="KG162" s="236"/>
    </row>
    <row r="163" customFormat="false" ht="22.5" hidden="false" customHeight="true" outlineLevel="0" collapsed="false">
      <c r="B163" s="113" t="s">
        <v>448</v>
      </c>
      <c r="C163" s="145" t="s">
        <v>449</v>
      </c>
      <c r="D163" s="58"/>
      <c r="E163" s="115"/>
      <c r="F163" s="116"/>
      <c r="G163" s="117"/>
      <c r="H163" s="146"/>
      <c r="I163" s="241"/>
      <c r="J163" s="120"/>
      <c r="K163" s="121"/>
      <c r="L163" s="66"/>
      <c r="M163" s="215" t="n">
        <f aca="false">IFERROR($F$191/$E$191,"")</f>
        <v>0.0256410256410256</v>
      </c>
      <c r="N163" s="68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3"/>
      <c r="AK163" s="73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3"/>
      <c r="BO163" s="73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4"/>
      <c r="CT163" s="73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5"/>
      <c r="DV163" s="68"/>
      <c r="DW163" s="122"/>
      <c r="DX163" s="122"/>
      <c r="DY163" s="122"/>
      <c r="DZ163" s="122"/>
      <c r="EA163" s="122"/>
      <c r="EB163" s="122"/>
      <c r="EC163" s="122"/>
      <c r="ED163" s="123"/>
      <c r="EE163" s="73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3"/>
      <c r="FJ163" s="73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  <c r="GJ163" s="122"/>
      <c r="GK163" s="122"/>
      <c r="GL163" s="122"/>
      <c r="GM163" s="122"/>
      <c r="GN163" s="123"/>
      <c r="GO163" s="73"/>
      <c r="GP163" s="122"/>
      <c r="GQ163" s="122"/>
      <c r="GR163" s="122"/>
      <c r="GS163" s="122"/>
      <c r="GT163" s="122"/>
      <c r="GU163" s="122"/>
      <c r="GV163" s="122"/>
      <c r="GW163" s="122"/>
      <c r="GX163" s="122"/>
      <c r="GY163" s="122"/>
      <c r="GZ163" s="122"/>
      <c r="HA163" s="122"/>
      <c r="HB163" s="122"/>
      <c r="HC163" s="122"/>
      <c r="HD163" s="122"/>
      <c r="HE163" s="122"/>
      <c r="HF163" s="122"/>
      <c r="HG163" s="122"/>
      <c r="HH163" s="122"/>
      <c r="HI163" s="122"/>
      <c r="HJ163" s="122"/>
      <c r="HK163" s="122"/>
      <c r="HL163" s="122"/>
      <c r="HM163" s="122"/>
      <c r="HN163" s="122"/>
      <c r="HO163" s="125"/>
      <c r="HP163" s="68"/>
      <c r="HQ163" s="122"/>
      <c r="HR163" s="123"/>
      <c r="HS163" s="73"/>
      <c r="HT163" s="122"/>
      <c r="HU163" s="122"/>
      <c r="HV163" s="122"/>
      <c r="HW163" s="122"/>
      <c r="HX163" s="122"/>
      <c r="HY163" s="122"/>
      <c r="HZ163" s="122"/>
      <c r="IA163" s="122"/>
      <c r="IB163" s="122"/>
      <c r="IC163" s="122"/>
      <c r="ID163" s="122"/>
      <c r="IE163" s="122"/>
      <c r="IF163" s="122"/>
      <c r="IG163" s="122"/>
      <c r="IH163" s="122"/>
      <c r="II163" s="122"/>
      <c r="IJ163" s="122"/>
      <c r="IK163" s="122"/>
      <c r="IL163" s="122"/>
      <c r="IM163" s="122"/>
      <c r="IN163" s="122"/>
      <c r="IO163" s="122"/>
      <c r="IP163" s="122"/>
      <c r="IQ163" s="122"/>
      <c r="IR163" s="122"/>
      <c r="IS163" s="122"/>
      <c r="IT163" s="122"/>
      <c r="IU163" s="122"/>
      <c r="IV163" s="122"/>
      <c r="IW163" s="123"/>
      <c r="IX163" s="125"/>
      <c r="IY163" s="68"/>
      <c r="IZ163" s="122"/>
      <c r="JA163" s="122"/>
      <c r="JB163" s="122"/>
      <c r="JC163" s="122"/>
      <c r="JD163" s="122"/>
      <c r="JE163" s="122"/>
      <c r="JF163" s="122"/>
      <c r="JG163" s="122"/>
      <c r="JH163" s="122"/>
      <c r="JI163" s="122"/>
      <c r="JJ163" s="122"/>
      <c r="JK163" s="122"/>
      <c r="JL163" s="122"/>
      <c r="JM163" s="122"/>
      <c r="JN163" s="122"/>
      <c r="JO163" s="122"/>
      <c r="JP163" s="122"/>
      <c r="JQ163" s="122"/>
      <c r="JR163" s="122"/>
      <c r="JS163" s="122"/>
      <c r="JT163" s="122"/>
      <c r="JU163" s="122"/>
      <c r="JV163" s="122"/>
      <c r="JW163" s="122"/>
      <c r="JX163" s="122"/>
      <c r="JY163" s="122"/>
      <c r="JZ163" s="122"/>
      <c r="KA163" s="123"/>
      <c r="KB163" s="73"/>
      <c r="KC163" s="122"/>
      <c r="KD163" s="122"/>
      <c r="KE163" s="122"/>
      <c r="KF163" s="122"/>
      <c r="KG163" s="122"/>
    </row>
    <row r="164" customFormat="false" ht="22.5" hidden="false" customHeight="true" outlineLevel="1" collapsed="false">
      <c r="B164" s="75" t="s">
        <v>450</v>
      </c>
      <c r="C164" s="147" t="s">
        <v>451</v>
      </c>
      <c r="D164" s="127" t="s">
        <v>359</v>
      </c>
      <c r="E164" s="128" t="n">
        <v>5</v>
      </c>
      <c r="F164" s="129" t="n">
        <v>1</v>
      </c>
      <c r="G164" s="130" t="n">
        <f aca="false">E164-F164</f>
        <v>4</v>
      </c>
      <c r="H164" s="216" t="n">
        <v>1</v>
      </c>
      <c r="I164" s="250" t="n">
        <v>7.15</v>
      </c>
      <c r="J164" s="133" t="n">
        <v>46327</v>
      </c>
      <c r="K164" s="134" t="n">
        <v>46329</v>
      </c>
      <c r="L164" s="135" t="n">
        <f aca="false">K164-J164</f>
        <v>2</v>
      </c>
      <c r="M164" s="136" t="n">
        <f aca="false">IFERROR(F164/E164,"")</f>
        <v>0.2</v>
      </c>
      <c r="N164" s="87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9"/>
      <c r="AK164" s="90"/>
      <c r="AL164" s="88"/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  <c r="AX164" s="88"/>
      <c r="AY164" s="88"/>
      <c r="AZ164" s="88"/>
      <c r="BA164" s="88"/>
      <c r="BB164" s="88"/>
      <c r="BC164" s="88"/>
      <c r="BD164" s="88"/>
      <c r="BE164" s="88"/>
      <c r="BF164" s="88"/>
      <c r="BG164" s="88"/>
      <c r="BH164" s="88"/>
      <c r="BI164" s="88"/>
      <c r="BJ164" s="88"/>
      <c r="BK164" s="88"/>
      <c r="BL164" s="88"/>
      <c r="BM164" s="88"/>
      <c r="BN164" s="89"/>
      <c r="BO164" s="90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91"/>
      <c r="CT164" s="90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  <c r="DL164" s="88"/>
      <c r="DM164" s="88"/>
      <c r="DN164" s="88"/>
      <c r="DO164" s="88"/>
      <c r="DP164" s="88"/>
      <c r="DQ164" s="88"/>
      <c r="DR164" s="88"/>
      <c r="DS164" s="88"/>
      <c r="DT164" s="88"/>
      <c r="DU164" s="92"/>
      <c r="DV164" s="87"/>
      <c r="DW164" s="88"/>
      <c r="DX164" s="88"/>
      <c r="DY164" s="88"/>
      <c r="DZ164" s="88"/>
      <c r="EA164" s="88"/>
      <c r="EB164" s="88"/>
      <c r="EC164" s="88"/>
      <c r="ED164" s="88"/>
      <c r="EE164" s="88"/>
      <c r="EF164" s="88"/>
      <c r="EG164" s="88"/>
      <c r="EH164" s="88"/>
      <c r="EI164" s="88"/>
      <c r="EJ164" s="88"/>
      <c r="EK164" s="88"/>
      <c r="EL164" s="88"/>
      <c r="EM164" s="88"/>
      <c r="EN164" s="88"/>
      <c r="EO164" s="88"/>
      <c r="EP164" s="88"/>
      <c r="EQ164" s="88"/>
      <c r="ER164" s="88"/>
      <c r="ES164" s="88"/>
      <c r="ET164" s="88"/>
      <c r="EU164" s="88"/>
      <c r="EV164" s="88"/>
      <c r="EW164" s="88"/>
      <c r="EX164" s="88"/>
      <c r="EY164" s="88"/>
      <c r="EZ164" s="88"/>
      <c r="FA164" s="88"/>
      <c r="FB164" s="88"/>
      <c r="FC164" s="88"/>
      <c r="FD164" s="88"/>
      <c r="FE164" s="88"/>
      <c r="FF164" s="88"/>
      <c r="FG164" s="88"/>
      <c r="FH164" s="88"/>
      <c r="FI164" s="88"/>
      <c r="FJ164" s="88"/>
      <c r="FK164" s="88"/>
      <c r="FL164" s="88"/>
      <c r="FM164" s="88"/>
      <c r="FN164" s="88"/>
      <c r="FO164" s="88"/>
      <c r="FP164" s="88"/>
      <c r="FQ164" s="88"/>
      <c r="FR164" s="88"/>
      <c r="FS164" s="88"/>
      <c r="FT164" s="88"/>
      <c r="FU164" s="88"/>
      <c r="FV164" s="88"/>
      <c r="FW164" s="88"/>
      <c r="FX164" s="88"/>
      <c r="FY164" s="88"/>
      <c r="FZ164" s="88"/>
      <c r="GA164" s="88"/>
      <c r="GB164" s="88"/>
      <c r="GC164" s="88"/>
      <c r="GD164" s="88"/>
      <c r="GE164" s="88"/>
      <c r="GF164" s="88"/>
      <c r="GG164" s="88"/>
      <c r="GH164" s="88"/>
      <c r="GI164" s="88"/>
      <c r="GJ164" s="88"/>
      <c r="GK164" s="88"/>
      <c r="GL164" s="88"/>
      <c r="GM164" s="88"/>
      <c r="GN164" s="88"/>
      <c r="GO164" s="88"/>
      <c r="GP164" s="88"/>
      <c r="GQ164" s="88"/>
      <c r="GR164" s="88"/>
      <c r="GS164" s="88"/>
      <c r="GT164" s="88"/>
      <c r="GU164" s="88"/>
      <c r="GV164" s="88"/>
      <c r="GW164" s="88"/>
      <c r="GX164" s="88"/>
      <c r="GY164" s="88"/>
      <c r="GZ164" s="88"/>
      <c r="HA164" s="88"/>
      <c r="HB164" s="88"/>
      <c r="HC164" s="88"/>
      <c r="HD164" s="88"/>
      <c r="HE164" s="88"/>
      <c r="HF164" s="88"/>
      <c r="HG164" s="88"/>
      <c r="HH164" s="88"/>
      <c r="HI164" s="88"/>
      <c r="HJ164" s="88"/>
      <c r="HK164" s="88"/>
      <c r="HL164" s="88"/>
      <c r="HM164" s="88"/>
      <c r="HN164" s="88"/>
      <c r="HO164" s="92"/>
      <c r="HP164" s="87"/>
      <c r="HQ164" s="88"/>
      <c r="HR164" s="88"/>
      <c r="HS164" s="88"/>
      <c r="HT164" s="88"/>
      <c r="HU164" s="88"/>
      <c r="HV164" s="88"/>
      <c r="HW164" s="88"/>
      <c r="HX164" s="88"/>
      <c r="HY164" s="88"/>
      <c r="HZ164" s="88"/>
      <c r="IA164" s="88"/>
      <c r="IB164" s="88"/>
      <c r="IC164" s="88"/>
      <c r="ID164" s="88"/>
      <c r="IE164" s="88"/>
      <c r="IF164" s="88"/>
      <c r="IG164" s="88"/>
      <c r="IH164" s="88"/>
      <c r="II164" s="88"/>
      <c r="IJ164" s="88"/>
      <c r="IK164" s="88"/>
      <c r="IL164" s="88"/>
      <c r="IM164" s="88"/>
      <c r="IN164" s="88"/>
      <c r="IO164" s="88"/>
      <c r="IP164" s="88"/>
      <c r="IQ164" s="88"/>
      <c r="IR164" s="88"/>
      <c r="IS164" s="88"/>
      <c r="IT164" s="88"/>
      <c r="IU164" s="88"/>
      <c r="IV164" s="88"/>
      <c r="IW164" s="88"/>
      <c r="IX164" s="92"/>
      <c r="IY164" s="87"/>
      <c r="IZ164" s="88"/>
      <c r="JA164" s="88"/>
      <c r="JB164" s="88"/>
      <c r="JC164" s="88"/>
      <c r="JD164" s="88"/>
      <c r="JE164" s="88"/>
      <c r="JF164" s="88"/>
      <c r="JG164" s="88"/>
      <c r="JH164" s="88"/>
      <c r="JI164" s="88"/>
      <c r="JJ164" s="88"/>
      <c r="JK164" s="88"/>
      <c r="JL164" s="88"/>
      <c r="JM164" s="88"/>
      <c r="JN164" s="88"/>
      <c r="JO164" s="88"/>
      <c r="JP164" s="88"/>
      <c r="JQ164" s="88"/>
      <c r="JR164" s="88"/>
      <c r="JS164" s="88"/>
      <c r="JT164" s="88"/>
      <c r="JU164" s="88"/>
      <c r="JV164" s="88"/>
      <c r="JW164" s="88"/>
      <c r="JX164" s="88"/>
      <c r="JY164" s="88"/>
      <c r="JZ164" s="88"/>
      <c r="KA164" s="251"/>
      <c r="KB164" s="90"/>
      <c r="KC164" s="88"/>
      <c r="KD164" s="88"/>
      <c r="KE164" s="88"/>
      <c r="KF164" s="88"/>
      <c r="KG164" s="88"/>
    </row>
    <row r="165" customFormat="false" ht="22.5" hidden="false" customHeight="true" outlineLevel="1" collapsed="false">
      <c r="B165" s="75" t="s">
        <v>452</v>
      </c>
      <c r="C165" s="147" t="s">
        <v>453</v>
      </c>
      <c r="D165" s="127" t="s">
        <v>73</v>
      </c>
      <c r="E165" s="139" t="n">
        <v>8</v>
      </c>
      <c r="F165" s="140" t="n">
        <v>0</v>
      </c>
      <c r="G165" s="141" t="n">
        <f aca="false">E165-F165</f>
        <v>8</v>
      </c>
      <c r="H165" s="166" t="n">
        <v>1</v>
      </c>
      <c r="I165" s="252" t="n">
        <v>8.1</v>
      </c>
      <c r="J165" s="149" t="n">
        <v>46329</v>
      </c>
      <c r="K165" s="144" t="n">
        <v>46330</v>
      </c>
      <c r="L165" s="143" t="n">
        <f aca="false">K165-J165</f>
        <v>1</v>
      </c>
      <c r="M165" s="136" t="n">
        <f aca="false">IFERROR(F165/E165,"")</f>
        <v>0</v>
      </c>
      <c r="N165" s="87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9"/>
      <c r="AK165" s="90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  <c r="BD165" s="88"/>
      <c r="BE165" s="88"/>
      <c r="BF165" s="88"/>
      <c r="BG165" s="88"/>
      <c r="BH165" s="88"/>
      <c r="BI165" s="88"/>
      <c r="BJ165" s="88"/>
      <c r="BK165" s="88"/>
      <c r="BL165" s="88"/>
      <c r="BM165" s="88"/>
      <c r="BN165" s="89"/>
      <c r="BO165" s="90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91"/>
      <c r="CT165" s="90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  <c r="DL165" s="88"/>
      <c r="DM165" s="88"/>
      <c r="DN165" s="88"/>
      <c r="DO165" s="88"/>
      <c r="DP165" s="88"/>
      <c r="DQ165" s="88"/>
      <c r="DR165" s="88"/>
      <c r="DS165" s="88"/>
      <c r="DT165" s="88"/>
      <c r="DU165" s="92"/>
      <c r="DV165" s="87"/>
      <c r="DW165" s="88"/>
      <c r="DX165" s="88"/>
      <c r="DY165" s="88"/>
      <c r="DZ165" s="88"/>
      <c r="EA165" s="88"/>
      <c r="EB165" s="88"/>
      <c r="EC165" s="88"/>
      <c r="ED165" s="88"/>
      <c r="EE165" s="88"/>
      <c r="EF165" s="88"/>
      <c r="EG165" s="88"/>
      <c r="EH165" s="88"/>
      <c r="EI165" s="88"/>
      <c r="EJ165" s="88"/>
      <c r="EK165" s="88"/>
      <c r="EL165" s="88"/>
      <c r="EM165" s="88"/>
      <c r="EN165" s="88"/>
      <c r="EO165" s="88"/>
      <c r="EP165" s="88"/>
      <c r="EQ165" s="88"/>
      <c r="ER165" s="88"/>
      <c r="ES165" s="88"/>
      <c r="ET165" s="88"/>
      <c r="EU165" s="88"/>
      <c r="EV165" s="88"/>
      <c r="EW165" s="88"/>
      <c r="EX165" s="88"/>
      <c r="EY165" s="88"/>
      <c r="EZ165" s="88"/>
      <c r="FA165" s="88"/>
      <c r="FB165" s="88"/>
      <c r="FC165" s="88"/>
      <c r="FD165" s="88"/>
      <c r="FE165" s="88"/>
      <c r="FF165" s="88"/>
      <c r="FG165" s="88"/>
      <c r="FH165" s="88"/>
      <c r="FI165" s="88"/>
      <c r="FJ165" s="88"/>
      <c r="FK165" s="88"/>
      <c r="FL165" s="88"/>
      <c r="FM165" s="88"/>
      <c r="FN165" s="88"/>
      <c r="FO165" s="88"/>
      <c r="FP165" s="88"/>
      <c r="FQ165" s="88"/>
      <c r="FR165" s="88"/>
      <c r="FS165" s="88"/>
      <c r="FT165" s="88"/>
      <c r="FU165" s="88"/>
      <c r="FV165" s="88"/>
      <c r="FW165" s="88"/>
      <c r="FX165" s="88"/>
      <c r="FY165" s="88"/>
      <c r="FZ165" s="88"/>
      <c r="GA165" s="88"/>
      <c r="GB165" s="88"/>
      <c r="GC165" s="88"/>
      <c r="GD165" s="88"/>
      <c r="GE165" s="88"/>
      <c r="GF165" s="88"/>
      <c r="GG165" s="88"/>
      <c r="GH165" s="88"/>
      <c r="GI165" s="88"/>
      <c r="GJ165" s="88"/>
      <c r="GK165" s="88"/>
      <c r="GL165" s="88"/>
      <c r="GM165" s="88"/>
      <c r="GN165" s="88"/>
      <c r="GO165" s="88"/>
      <c r="GP165" s="88"/>
      <c r="GQ165" s="88"/>
      <c r="GR165" s="88"/>
      <c r="GS165" s="88"/>
      <c r="GT165" s="88"/>
      <c r="GU165" s="88"/>
      <c r="GV165" s="88"/>
      <c r="GW165" s="88"/>
      <c r="GX165" s="88"/>
      <c r="GY165" s="88"/>
      <c r="GZ165" s="88"/>
      <c r="HA165" s="88"/>
      <c r="HB165" s="88"/>
      <c r="HC165" s="88"/>
      <c r="HD165" s="88"/>
      <c r="HE165" s="88"/>
      <c r="HF165" s="88"/>
      <c r="HG165" s="88"/>
      <c r="HH165" s="88"/>
      <c r="HI165" s="88"/>
      <c r="HJ165" s="88"/>
      <c r="HK165" s="88"/>
      <c r="HL165" s="88"/>
      <c r="HM165" s="88"/>
      <c r="HN165" s="88"/>
      <c r="HO165" s="92"/>
      <c r="HP165" s="87"/>
      <c r="HQ165" s="88"/>
      <c r="HR165" s="88"/>
      <c r="HS165" s="88"/>
      <c r="HT165" s="88"/>
      <c r="HU165" s="88"/>
      <c r="HV165" s="88"/>
      <c r="HW165" s="88"/>
      <c r="HX165" s="88"/>
      <c r="HY165" s="88"/>
      <c r="HZ165" s="88"/>
      <c r="IA165" s="88"/>
      <c r="IB165" s="88"/>
      <c r="IC165" s="88"/>
      <c r="ID165" s="88"/>
      <c r="IE165" s="88"/>
      <c r="IF165" s="88"/>
      <c r="IG165" s="88"/>
      <c r="IH165" s="88"/>
      <c r="II165" s="88"/>
      <c r="IJ165" s="88"/>
      <c r="IK165" s="88"/>
      <c r="IL165" s="88"/>
      <c r="IM165" s="88"/>
      <c r="IN165" s="88"/>
      <c r="IO165" s="88"/>
      <c r="IP165" s="88"/>
      <c r="IQ165" s="88"/>
      <c r="IR165" s="88"/>
      <c r="IS165" s="88"/>
      <c r="IT165" s="88"/>
      <c r="IU165" s="88"/>
      <c r="IV165" s="88"/>
      <c r="IW165" s="88"/>
      <c r="IX165" s="92"/>
      <c r="IY165" s="87"/>
      <c r="IZ165" s="88"/>
      <c r="JA165" s="88"/>
      <c r="JB165" s="88"/>
      <c r="JC165" s="88"/>
      <c r="JD165" s="88"/>
      <c r="JE165" s="88"/>
      <c r="JF165" s="88"/>
      <c r="JG165" s="88"/>
      <c r="JH165" s="88"/>
      <c r="JI165" s="88"/>
      <c r="JJ165" s="88"/>
      <c r="JK165" s="88"/>
      <c r="JL165" s="88"/>
      <c r="JM165" s="88"/>
      <c r="JN165" s="88"/>
      <c r="JO165" s="88"/>
      <c r="JP165" s="88"/>
      <c r="JQ165" s="88"/>
      <c r="JR165" s="88"/>
      <c r="JS165" s="88"/>
      <c r="JT165" s="88"/>
      <c r="JU165" s="88"/>
      <c r="JV165" s="88"/>
      <c r="JW165" s="88"/>
      <c r="JX165" s="88"/>
      <c r="JY165" s="88"/>
      <c r="JZ165" s="88"/>
      <c r="KA165" s="251"/>
      <c r="KB165" s="90"/>
      <c r="KC165" s="88"/>
      <c r="KD165" s="88"/>
      <c r="KE165" s="88"/>
      <c r="KF165" s="88"/>
      <c r="KG165" s="88"/>
    </row>
    <row r="166" customFormat="false" ht="22.5" hidden="false" customHeight="true" outlineLevel="1" collapsed="false">
      <c r="B166" s="75" t="s">
        <v>454</v>
      </c>
      <c r="C166" s="217" t="s">
        <v>455</v>
      </c>
      <c r="D166" s="127" t="s">
        <v>456</v>
      </c>
      <c r="E166" s="218" t="n">
        <v>2</v>
      </c>
      <c r="F166" s="219" t="n">
        <v>0</v>
      </c>
      <c r="G166" s="220" t="n">
        <f aca="false">E166-F166</f>
        <v>2</v>
      </c>
      <c r="H166" s="222" t="n">
        <v>1</v>
      </c>
      <c r="I166" s="253" t="n">
        <v>8.2</v>
      </c>
      <c r="J166" s="149" t="n">
        <v>46330</v>
      </c>
      <c r="K166" s="144" t="n">
        <v>46332</v>
      </c>
      <c r="L166" s="143" t="n">
        <f aca="false">K166-J166</f>
        <v>2</v>
      </c>
      <c r="M166" s="223" t="n">
        <f aca="false">IFERROR(F166/E166,"")</f>
        <v>0</v>
      </c>
      <c r="N166" s="87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9"/>
      <c r="AK166" s="90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9"/>
      <c r="BO166" s="90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91"/>
      <c r="CT166" s="90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92"/>
      <c r="DV166" s="87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  <c r="EM166" s="88"/>
      <c r="EN166" s="88"/>
      <c r="EO166" s="88"/>
      <c r="EP166" s="88"/>
      <c r="EQ166" s="88"/>
      <c r="ER166" s="88"/>
      <c r="ES166" s="88"/>
      <c r="ET166" s="88"/>
      <c r="EU166" s="88"/>
      <c r="EV166" s="88"/>
      <c r="EW166" s="88"/>
      <c r="EX166" s="88"/>
      <c r="EY166" s="88"/>
      <c r="EZ166" s="88"/>
      <c r="FA166" s="88"/>
      <c r="FB166" s="88"/>
      <c r="FC166" s="88"/>
      <c r="FD166" s="88"/>
      <c r="FE166" s="88"/>
      <c r="FF166" s="88"/>
      <c r="FG166" s="88"/>
      <c r="FH166" s="88"/>
      <c r="FI166" s="88"/>
      <c r="FJ166" s="88"/>
      <c r="FK166" s="88"/>
      <c r="FL166" s="88"/>
      <c r="FM166" s="88"/>
      <c r="FN166" s="88"/>
      <c r="FO166" s="88"/>
      <c r="FP166" s="88"/>
      <c r="FQ166" s="88"/>
      <c r="FR166" s="88"/>
      <c r="FS166" s="88"/>
      <c r="FT166" s="88"/>
      <c r="FU166" s="88"/>
      <c r="FV166" s="88"/>
      <c r="FW166" s="88"/>
      <c r="FX166" s="88"/>
      <c r="FY166" s="88"/>
      <c r="FZ166" s="88"/>
      <c r="GA166" s="88"/>
      <c r="GB166" s="88"/>
      <c r="GC166" s="88"/>
      <c r="GD166" s="88"/>
      <c r="GE166" s="88"/>
      <c r="GF166" s="88"/>
      <c r="GG166" s="88"/>
      <c r="GH166" s="88"/>
      <c r="GI166" s="88"/>
      <c r="GJ166" s="88"/>
      <c r="GK166" s="88"/>
      <c r="GL166" s="88"/>
      <c r="GM166" s="88"/>
      <c r="GN166" s="88"/>
      <c r="GO166" s="88"/>
      <c r="GP166" s="88"/>
      <c r="GQ166" s="88"/>
      <c r="GR166" s="88"/>
      <c r="GS166" s="88"/>
      <c r="GT166" s="88"/>
      <c r="GU166" s="88"/>
      <c r="GV166" s="88"/>
      <c r="GW166" s="88"/>
      <c r="GX166" s="88"/>
      <c r="GY166" s="88"/>
      <c r="GZ166" s="88"/>
      <c r="HA166" s="88"/>
      <c r="HB166" s="88"/>
      <c r="HC166" s="88"/>
      <c r="HD166" s="88"/>
      <c r="HE166" s="88"/>
      <c r="HF166" s="88"/>
      <c r="HG166" s="88"/>
      <c r="HH166" s="88"/>
      <c r="HI166" s="88"/>
      <c r="HJ166" s="88"/>
      <c r="HK166" s="88"/>
      <c r="HL166" s="88"/>
      <c r="HM166" s="88"/>
      <c r="HN166" s="88"/>
      <c r="HO166" s="92"/>
      <c r="HP166" s="87"/>
      <c r="HQ166" s="88"/>
      <c r="HR166" s="88"/>
      <c r="HS166" s="88"/>
      <c r="HT166" s="88"/>
      <c r="HU166" s="88"/>
      <c r="HV166" s="88"/>
      <c r="HW166" s="88"/>
      <c r="HX166" s="88"/>
      <c r="HY166" s="88"/>
      <c r="HZ166" s="88"/>
      <c r="IA166" s="88"/>
      <c r="IB166" s="88"/>
      <c r="IC166" s="88"/>
      <c r="ID166" s="88"/>
      <c r="IE166" s="88"/>
      <c r="IF166" s="88"/>
      <c r="IG166" s="88"/>
      <c r="IH166" s="88"/>
      <c r="II166" s="88"/>
      <c r="IJ166" s="88"/>
      <c r="IK166" s="88"/>
      <c r="IL166" s="88"/>
      <c r="IM166" s="88"/>
      <c r="IN166" s="88"/>
      <c r="IO166" s="88"/>
      <c r="IP166" s="88"/>
      <c r="IQ166" s="88"/>
      <c r="IR166" s="88"/>
      <c r="IS166" s="88"/>
      <c r="IT166" s="88"/>
      <c r="IU166" s="88"/>
      <c r="IV166" s="88"/>
      <c r="IW166" s="88"/>
      <c r="IX166" s="92"/>
      <c r="IY166" s="87"/>
      <c r="IZ166" s="88"/>
      <c r="JA166" s="88"/>
      <c r="JB166" s="88"/>
      <c r="JC166" s="88"/>
      <c r="JD166" s="88"/>
      <c r="JE166" s="88"/>
      <c r="JF166" s="88"/>
      <c r="JG166" s="88"/>
      <c r="JH166" s="88"/>
      <c r="JI166" s="88"/>
      <c r="JJ166" s="88"/>
      <c r="JK166" s="88"/>
      <c r="JL166" s="88"/>
      <c r="JM166" s="88"/>
      <c r="JN166" s="88"/>
      <c r="JO166" s="88"/>
      <c r="JP166" s="88"/>
      <c r="JQ166" s="88"/>
      <c r="JR166" s="88"/>
      <c r="JS166" s="88"/>
      <c r="JT166" s="88"/>
      <c r="JU166" s="88"/>
      <c r="JV166" s="88"/>
      <c r="JW166" s="88"/>
      <c r="JX166" s="88"/>
      <c r="JY166" s="88"/>
      <c r="JZ166" s="88"/>
      <c r="KA166" s="251"/>
      <c r="KB166" s="90"/>
      <c r="KC166" s="88"/>
      <c r="KD166" s="88"/>
      <c r="KE166" s="88"/>
      <c r="KF166" s="88"/>
      <c r="KG166" s="88"/>
    </row>
    <row r="167" customFormat="false" ht="22.5" hidden="false" customHeight="true" outlineLevel="1" collapsed="false">
      <c r="B167" s="75" t="s">
        <v>457</v>
      </c>
      <c r="C167" s="217" t="s">
        <v>458</v>
      </c>
      <c r="D167" s="127" t="s">
        <v>138</v>
      </c>
      <c r="E167" s="218" t="n">
        <v>2</v>
      </c>
      <c r="F167" s="219" t="n">
        <v>0</v>
      </c>
      <c r="G167" s="220" t="n">
        <f aca="false">E167-F167</f>
        <v>2</v>
      </c>
      <c r="H167" s="222" t="n">
        <v>1</v>
      </c>
      <c r="I167" s="253" t="n">
        <v>8.3</v>
      </c>
      <c r="J167" s="149" t="n">
        <v>46332</v>
      </c>
      <c r="K167" s="144" t="n">
        <v>46334</v>
      </c>
      <c r="L167" s="143" t="n">
        <f aca="false">K167-J167</f>
        <v>2</v>
      </c>
      <c r="M167" s="224" t="n">
        <f aca="false">IFERROR(F167/E167,"")</f>
        <v>0</v>
      </c>
      <c r="N167" s="87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9"/>
      <c r="AK167" s="90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  <c r="BD167" s="88"/>
      <c r="BE167" s="88"/>
      <c r="BF167" s="88"/>
      <c r="BG167" s="88"/>
      <c r="BH167" s="88"/>
      <c r="BI167" s="88"/>
      <c r="BJ167" s="88"/>
      <c r="BK167" s="88"/>
      <c r="BL167" s="88"/>
      <c r="BM167" s="88"/>
      <c r="BN167" s="89"/>
      <c r="BO167" s="90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91"/>
      <c r="CT167" s="90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  <c r="DL167" s="88"/>
      <c r="DM167" s="88"/>
      <c r="DN167" s="88"/>
      <c r="DO167" s="88"/>
      <c r="DP167" s="88"/>
      <c r="DQ167" s="88"/>
      <c r="DR167" s="88"/>
      <c r="DS167" s="88"/>
      <c r="DT167" s="88"/>
      <c r="DU167" s="92"/>
      <c r="DV167" s="87"/>
      <c r="DW167" s="88"/>
      <c r="DX167" s="88"/>
      <c r="DY167" s="88"/>
      <c r="DZ167" s="88"/>
      <c r="EA167" s="88"/>
      <c r="EB167" s="88"/>
      <c r="EC167" s="88"/>
      <c r="ED167" s="88"/>
      <c r="EE167" s="88"/>
      <c r="EF167" s="88"/>
      <c r="EG167" s="88"/>
      <c r="EH167" s="88"/>
      <c r="EI167" s="88"/>
      <c r="EJ167" s="88"/>
      <c r="EK167" s="88"/>
      <c r="EL167" s="88"/>
      <c r="EM167" s="88"/>
      <c r="EN167" s="88"/>
      <c r="EO167" s="88"/>
      <c r="EP167" s="88"/>
      <c r="EQ167" s="88"/>
      <c r="ER167" s="88"/>
      <c r="ES167" s="88"/>
      <c r="ET167" s="88"/>
      <c r="EU167" s="88"/>
      <c r="EV167" s="88"/>
      <c r="EW167" s="88"/>
      <c r="EX167" s="88"/>
      <c r="EY167" s="88"/>
      <c r="EZ167" s="88"/>
      <c r="FA167" s="88"/>
      <c r="FB167" s="88"/>
      <c r="FC167" s="88"/>
      <c r="FD167" s="88"/>
      <c r="FE167" s="88"/>
      <c r="FF167" s="88"/>
      <c r="FG167" s="88"/>
      <c r="FH167" s="88"/>
      <c r="FI167" s="88"/>
      <c r="FJ167" s="88"/>
      <c r="FK167" s="88"/>
      <c r="FL167" s="88"/>
      <c r="FM167" s="88"/>
      <c r="FN167" s="88"/>
      <c r="FO167" s="88"/>
      <c r="FP167" s="88"/>
      <c r="FQ167" s="88"/>
      <c r="FR167" s="88"/>
      <c r="FS167" s="88"/>
      <c r="FT167" s="88"/>
      <c r="FU167" s="88"/>
      <c r="FV167" s="88"/>
      <c r="FW167" s="88"/>
      <c r="FX167" s="88"/>
      <c r="FY167" s="88"/>
      <c r="FZ167" s="88"/>
      <c r="GA167" s="88"/>
      <c r="GB167" s="88"/>
      <c r="GC167" s="88"/>
      <c r="GD167" s="88"/>
      <c r="GE167" s="88"/>
      <c r="GF167" s="88"/>
      <c r="GG167" s="88"/>
      <c r="GH167" s="88"/>
      <c r="GI167" s="88"/>
      <c r="GJ167" s="88"/>
      <c r="GK167" s="88"/>
      <c r="GL167" s="88"/>
      <c r="GM167" s="88"/>
      <c r="GN167" s="88"/>
      <c r="GO167" s="88"/>
      <c r="GP167" s="88"/>
      <c r="GQ167" s="88"/>
      <c r="GR167" s="88"/>
      <c r="GS167" s="88"/>
      <c r="GT167" s="88"/>
      <c r="GU167" s="88"/>
      <c r="GV167" s="88"/>
      <c r="GW167" s="88"/>
      <c r="GX167" s="88"/>
      <c r="GY167" s="88"/>
      <c r="GZ167" s="88"/>
      <c r="HA167" s="88"/>
      <c r="HB167" s="88"/>
      <c r="HC167" s="88"/>
      <c r="HD167" s="88"/>
      <c r="HE167" s="88"/>
      <c r="HF167" s="88"/>
      <c r="HG167" s="88"/>
      <c r="HH167" s="88"/>
      <c r="HI167" s="88"/>
      <c r="HJ167" s="88"/>
      <c r="HK167" s="88"/>
      <c r="HL167" s="88"/>
      <c r="HM167" s="88"/>
      <c r="HN167" s="88"/>
      <c r="HO167" s="92"/>
      <c r="HP167" s="87"/>
      <c r="HQ167" s="88"/>
      <c r="HR167" s="88"/>
      <c r="HS167" s="88"/>
      <c r="HT167" s="88"/>
      <c r="HU167" s="88"/>
      <c r="HV167" s="88"/>
      <c r="HW167" s="88"/>
      <c r="HX167" s="88"/>
      <c r="HY167" s="88"/>
      <c r="HZ167" s="88"/>
      <c r="IA167" s="88"/>
      <c r="IB167" s="88"/>
      <c r="IC167" s="88"/>
      <c r="ID167" s="88"/>
      <c r="IE167" s="88"/>
      <c r="IF167" s="88"/>
      <c r="IG167" s="88"/>
      <c r="IH167" s="88"/>
      <c r="II167" s="88"/>
      <c r="IJ167" s="88"/>
      <c r="IK167" s="88"/>
      <c r="IL167" s="88"/>
      <c r="IM167" s="88"/>
      <c r="IN167" s="88"/>
      <c r="IO167" s="88"/>
      <c r="IP167" s="88"/>
      <c r="IQ167" s="88"/>
      <c r="IR167" s="88"/>
      <c r="IS167" s="88"/>
      <c r="IT167" s="88"/>
      <c r="IU167" s="88"/>
      <c r="IV167" s="88"/>
      <c r="IW167" s="88"/>
      <c r="IX167" s="92"/>
      <c r="IY167" s="87"/>
      <c r="IZ167" s="88"/>
      <c r="JA167" s="88"/>
      <c r="JB167" s="88"/>
      <c r="JC167" s="88"/>
      <c r="JD167" s="88"/>
      <c r="JE167" s="88"/>
      <c r="JF167" s="88"/>
      <c r="JG167" s="88"/>
      <c r="JH167" s="88"/>
      <c r="JI167" s="88"/>
      <c r="JJ167" s="88"/>
      <c r="JK167" s="88"/>
      <c r="JL167" s="88"/>
      <c r="JM167" s="88"/>
      <c r="JN167" s="88"/>
      <c r="JO167" s="88"/>
      <c r="JP167" s="88"/>
      <c r="JQ167" s="88"/>
      <c r="JR167" s="88"/>
      <c r="JS167" s="88"/>
      <c r="JT167" s="88"/>
      <c r="JU167" s="88"/>
      <c r="JV167" s="88"/>
      <c r="JW167" s="88"/>
      <c r="JX167" s="88"/>
      <c r="JY167" s="88"/>
      <c r="JZ167" s="88"/>
      <c r="KA167" s="251"/>
      <c r="KB167" s="90"/>
      <c r="KC167" s="88"/>
      <c r="KD167" s="88"/>
      <c r="KE167" s="88"/>
      <c r="KF167" s="88"/>
      <c r="KG167" s="88"/>
    </row>
    <row r="168" customFormat="false" ht="22.5" hidden="false" customHeight="true" outlineLevel="1" collapsed="false">
      <c r="B168" s="75" t="s">
        <v>459</v>
      </c>
      <c r="C168" s="217" t="s">
        <v>460</v>
      </c>
      <c r="D168" s="127" t="s">
        <v>73</v>
      </c>
      <c r="E168" s="218" t="n">
        <v>2</v>
      </c>
      <c r="F168" s="219" t="n">
        <v>0</v>
      </c>
      <c r="G168" s="220" t="n">
        <f aca="false">E168-F168</f>
        <v>2</v>
      </c>
      <c r="H168" s="222" t="n">
        <v>2</v>
      </c>
      <c r="I168" s="253" t="n">
        <v>8.4</v>
      </c>
      <c r="J168" s="149" t="n">
        <v>46334</v>
      </c>
      <c r="K168" s="144" t="n">
        <v>46334</v>
      </c>
      <c r="L168" s="143" t="n">
        <f aca="false">K168-J168</f>
        <v>0</v>
      </c>
      <c r="M168" s="224" t="n">
        <f aca="false">IFERROR(F168/E168,"")</f>
        <v>0</v>
      </c>
      <c r="N168" s="87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9"/>
      <c r="AK168" s="90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  <c r="BD168" s="88"/>
      <c r="BE168" s="88"/>
      <c r="BF168" s="88"/>
      <c r="BG168" s="88"/>
      <c r="BH168" s="88"/>
      <c r="BI168" s="88"/>
      <c r="BJ168" s="88"/>
      <c r="BK168" s="88"/>
      <c r="BL168" s="88"/>
      <c r="BM168" s="88"/>
      <c r="BN168" s="89"/>
      <c r="BO168" s="90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91"/>
      <c r="CT168" s="90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  <c r="DL168" s="88"/>
      <c r="DM168" s="88"/>
      <c r="DN168" s="88"/>
      <c r="DO168" s="88"/>
      <c r="DP168" s="88"/>
      <c r="DQ168" s="88"/>
      <c r="DR168" s="88"/>
      <c r="DS168" s="88"/>
      <c r="DT168" s="88"/>
      <c r="DU168" s="92"/>
      <c r="DV168" s="87"/>
      <c r="DW168" s="88"/>
      <c r="DX168" s="88"/>
      <c r="DY168" s="88"/>
      <c r="DZ168" s="88"/>
      <c r="EA168" s="88"/>
      <c r="EB168" s="88"/>
      <c r="EC168" s="88"/>
      <c r="ED168" s="88"/>
      <c r="EE168" s="88"/>
      <c r="EF168" s="88"/>
      <c r="EG168" s="88"/>
      <c r="EH168" s="88"/>
      <c r="EI168" s="88"/>
      <c r="EJ168" s="88"/>
      <c r="EK168" s="88"/>
      <c r="EL168" s="88"/>
      <c r="EM168" s="88"/>
      <c r="EN168" s="88"/>
      <c r="EO168" s="88"/>
      <c r="EP168" s="88"/>
      <c r="EQ168" s="88"/>
      <c r="ER168" s="88"/>
      <c r="ES168" s="88"/>
      <c r="ET168" s="88"/>
      <c r="EU168" s="88"/>
      <c r="EV168" s="88"/>
      <c r="EW168" s="88"/>
      <c r="EX168" s="88"/>
      <c r="EY168" s="88"/>
      <c r="EZ168" s="88"/>
      <c r="FA168" s="88"/>
      <c r="FB168" s="88"/>
      <c r="FC168" s="88"/>
      <c r="FD168" s="88"/>
      <c r="FE168" s="88"/>
      <c r="FF168" s="88"/>
      <c r="FG168" s="88"/>
      <c r="FH168" s="88"/>
      <c r="FI168" s="88"/>
      <c r="FJ168" s="88"/>
      <c r="FK168" s="88"/>
      <c r="FL168" s="88"/>
      <c r="FM168" s="88"/>
      <c r="FN168" s="88"/>
      <c r="FO168" s="88"/>
      <c r="FP168" s="88"/>
      <c r="FQ168" s="88"/>
      <c r="FR168" s="88"/>
      <c r="FS168" s="88"/>
      <c r="FT168" s="88"/>
      <c r="FU168" s="88"/>
      <c r="FV168" s="88"/>
      <c r="FW168" s="88"/>
      <c r="FX168" s="88"/>
      <c r="FY168" s="88"/>
      <c r="FZ168" s="88"/>
      <c r="GA168" s="88"/>
      <c r="GB168" s="88"/>
      <c r="GC168" s="88"/>
      <c r="GD168" s="88"/>
      <c r="GE168" s="88"/>
      <c r="GF168" s="88"/>
      <c r="GG168" s="88"/>
      <c r="GH168" s="88"/>
      <c r="GI168" s="88"/>
      <c r="GJ168" s="88"/>
      <c r="GK168" s="88"/>
      <c r="GL168" s="88"/>
      <c r="GM168" s="88"/>
      <c r="GN168" s="88"/>
      <c r="GO168" s="88"/>
      <c r="GP168" s="88"/>
      <c r="GQ168" s="88"/>
      <c r="GR168" s="88"/>
      <c r="GS168" s="88"/>
      <c r="GT168" s="88"/>
      <c r="GU168" s="88"/>
      <c r="GV168" s="88"/>
      <c r="GW168" s="88"/>
      <c r="GX168" s="88"/>
      <c r="GY168" s="88"/>
      <c r="GZ168" s="88"/>
      <c r="HA168" s="88"/>
      <c r="HB168" s="88"/>
      <c r="HC168" s="88"/>
      <c r="HD168" s="88"/>
      <c r="HE168" s="88"/>
      <c r="HF168" s="88"/>
      <c r="HG168" s="88"/>
      <c r="HH168" s="88"/>
      <c r="HI168" s="88"/>
      <c r="HJ168" s="88"/>
      <c r="HK168" s="88"/>
      <c r="HL168" s="88"/>
      <c r="HM168" s="88"/>
      <c r="HN168" s="88"/>
      <c r="HO168" s="92"/>
      <c r="HP168" s="87"/>
      <c r="HQ168" s="88"/>
      <c r="HR168" s="88"/>
      <c r="HS168" s="88"/>
      <c r="HT168" s="88"/>
      <c r="HU168" s="88"/>
      <c r="HV168" s="88"/>
      <c r="HW168" s="88"/>
      <c r="HX168" s="88"/>
      <c r="HY168" s="88"/>
      <c r="HZ168" s="88"/>
      <c r="IA168" s="88"/>
      <c r="IB168" s="88"/>
      <c r="IC168" s="88"/>
      <c r="ID168" s="88"/>
      <c r="IE168" s="88"/>
      <c r="IF168" s="88"/>
      <c r="IG168" s="88"/>
      <c r="IH168" s="88"/>
      <c r="II168" s="88"/>
      <c r="IJ168" s="88"/>
      <c r="IK168" s="88"/>
      <c r="IL168" s="88"/>
      <c r="IM168" s="88"/>
      <c r="IN168" s="88"/>
      <c r="IO168" s="88"/>
      <c r="IP168" s="88"/>
      <c r="IQ168" s="88"/>
      <c r="IR168" s="88"/>
      <c r="IS168" s="88"/>
      <c r="IT168" s="88"/>
      <c r="IU168" s="88"/>
      <c r="IV168" s="88"/>
      <c r="IW168" s="88"/>
      <c r="IX168" s="92"/>
      <c r="IY168" s="87"/>
      <c r="IZ168" s="88"/>
      <c r="JA168" s="88"/>
      <c r="JB168" s="88"/>
      <c r="JC168" s="88"/>
      <c r="JD168" s="88"/>
      <c r="JE168" s="88"/>
      <c r="JF168" s="88"/>
      <c r="JG168" s="88"/>
      <c r="JH168" s="88"/>
      <c r="JI168" s="88"/>
      <c r="JJ168" s="88"/>
      <c r="JK168" s="88"/>
      <c r="JL168" s="88"/>
      <c r="JM168" s="88"/>
      <c r="JN168" s="88"/>
      <c r="JO168" s="88"/>
      <c r="JP168" s="88"/>
      <c r="JQ168" s="88"/>
      <c r="JR168" s="88"/>
      <c r="JS168" s="88"/>
      <c r="JT168" s="88"/>
      <c r="JU168" s="88"/>
      <c r="JV168" s="88"/>
      <c r="JW168" s="88"/>
      <c r="JX168" s="88"/>
      <c r="JY168" s="88"/>
      <c r="JZ168" s="88"/>
      <c r="KA168" s="251"/>
      <c r="KB168" s="90"/>
      <c r="KC168" s="88"/>
      <c r="KD168" s="88"/>
      <c r="KE168" s="88"/>
      <c r="KF168" s="88"/>
      <c r="KG168" s="88"/>
    </row>
    <row r="169" customFormat="false" ht="22.5" hidden="false" customHeight="true" outlineLevel="1" collapsed="false">
      <c r="B169" s="75" t="s">
        <v>461</v>
      </c>
      <c r="C169" s="217" t="s">
        <v>462</v>
      </c>
      <c r="D169" s="127" t="s">
        <v>138</v>
      </c>
      <c r="E169" s="218" t="n">
        <v>2</v>
      </c>
      <c r="F169" s="219" t="n">
        <v>0</v>
      </c>
      <c r="G169" s="220" t="n">
        <f aca="false">E169-F169</f>
        <v>2</v>
      </c>
      <c r="H169" s="222" t="n">
        <v>2</v>
      </c>
      <c r="I169" s="253" t="n">
        <v>8.4</v>
      </c>
      <c r="J169" s="149" t="n">
        <v>46334</v>
      </c>
      <c r="K169" s="144" t="n">
        <v>46335</v>
      </c>
      <c r="L169" s="143" t="n">
        <f aca="false">K169-J169</f>
        <v>1</v>
      </c>
      <c r="M169" s="224" t="n">
        <f aca="false">IFERROR(F169/E169,"")</f>
        <v>0</v>
      </c>
      <c r="N169" s="87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9"/>
      <c r="AK169" s="90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  <c r="BD169" s="88"/>
      <c r="BE169" s="88"/>
      <c r="BF169" s="88"/>
      <c r="BG169" s="88"/>
      <c r="BH169" s="88"/>
      <c r="BI169" s="88"/>
      <c r="BJ169" s="88"/>
      <c r="BK169" s="88"/>
      <c r="BL169" s="88"/>
      <c r="BM169" s="88"/>
      <c r="BN169" s="89"/>
      <c r="BO169" s="90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91"/>
      <c r="CT169" s="90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  <c r="DL169" s="88"/>
      <c r="DM169" s="88"/>
      <c r="DN169" s="88"/>
      <c r="DO169" s="88"/>
      <c r="DP169" s="88"/>
      <c r="DQ169" s="88"/>
      <c r="DR169" s="88"/>
      <c r="DS169" s="88"/>
      <c r="DT169" s="88"/>
      <c r="DU169" s="92"/>
      <c r="DV169" s="87"/>
      <c r="DW169" s="88"/>
      <c r="DX169" s="88"/>
      <c r="DY169" s="88"/>
      <c r="DZ169" s="88"/>
      <c r="EA169" s="88"/>
      <c r="EB169" s="88"/>
      <c r="EC169" s="88"/>
      <c r="ED169" s="88"/>
      <c r="EE169" s="88"/>
      <c r="EF169" s="88"/>
      <c r="EG169" s="88"/>
      <c r="EH169" s="88"/>
      <c r="EI169" s="88"/>
      <c r="EJ169" s="88"/>
      <c r="EK169" s="88"/>
      <c r="EL169" s="88"/>
      <c r="EM169" s="88"/>
      <c r="EN169" s="88"/>
      <c r="EO169" s="88"/>
      <c r="EP169" s="88"/>
      <c r="EQ169" s="88"/>
      <c r="ER169" s="88"/>
      <c r="ES169" s="88"/>
      <c r="ET169" s="88"/>
      <c r="EU169" s="88"/>
      <c r="EV169" s="88"/>
      <c r="EW169" s="88"/>
      <c r="EX169" s="88"/>
      <c r="EY169" s="88"/>
      <c r="EZ169" s="88"/>
      <c r="FA169" s="88"/>
      <c r="FB169" s="88"/>
      <c r="FC169" s="88"/>
      <c r="FD169" s="88"/>
      <c r="FE169" s="88"/>
      <c r="FF169" s="88"/>
      <c r="FG169" s="88"/>
      <c r="FH169" s="88"/>
      <c r="FI169" s="88"/>
      <c r="FJ169" s="88"/>
      <c r="FK169" s="88"/>
      <c r="FL169" s="88"/>
      <c r="FM169" s="88"/>
      <c r="FN169" s="88"/>
      <c r="FO169" s="88"/>
      <c r="FP169" s="88"/>
      <c r="FQ169" s="88"/>
      <c r="FR169" s="88"/>
      <c r="FS169" s="88"/>
      <c r="FT169" s="88"/>
      <c r="FU169" s="88"/>
      <c r="FV169" s="88"/>
      <c r="FW169" s="88"/>
      <c r="FX169" s="88"/>
      <c r="FY169" s="88"/>
      <c r="FZ169" s="88"/>
      <c r="GA169" s="88"/>
      <c r="GB169" s="88"/>
      <c r="GC169" s="88"/>
      <c r="GD169" s="88"/>
      <c r="GE169" s="88"/>
      <c r="GF169" s="88"/>
      <c r="GG169" s="88"/>
      <c r="GH169" s="88"/>
      <c r="GI169" s="88"/>
      <c r="GJ169" s="88"/>
      <c r="GK169" s="88"/>
      <c r="GL169" s="88"/>
      <c r="GM169" s="88"/>
      <c r="GN169" s="88"/>
      <c r="GO169" s="88"/>
      <c r="GP169" s="88"/>
      <c r="GQ169" s="88"/>
      <c r="GR169" s="88"/>
      <c r="GS169" s="88"/>
      <c r="GT169" s="88"/>
      <c r="GU169" s="88"/>
      <c r="GV169" s="88"/>
      <c r="GW169" s="88"/>
      <c r="GX169" s="88"/>
      <c r="GY169" s="88"/>
      <c r="GZ169" s="88"/>
      <c r="HA169" s="88"/>
      <c r="HB169" s="88"/>
      <c r="HC169" s="88"/>
      <c r="HD169" s="88"/>
      <c r="HE169" s="88"/>
      <c r="HF169" s="88"/>
      <c r="HG169" s="88"/>
      <c r="HH169" s="88"/>
      <c r="HI169" s="88"/>
      <c r="HJ169" s="88"/>
      <c r="HK169" s="88"/>
      <c r="HL169" s="88"/>
      <c r="HM169" s="88"/>
      <c r="HN169" s="88"/>
      <c r="HO169" s="92"/>
      <c r="HP169" s="87"/>
      <c r="HQ169" s="88"/>
      <c r="HR169" s="88"/>
      <c r="HS169" s="88"/>
      <c r="HT169" s="88"/>
      <c r="HU169" s="88"/>
      <c r="HV169" s="88"/>
      <c r="HW169" s="88"/>
      <c r="HX169" s="88"/>
      <c r="HY169" s="88"/>
      <c r="HZ169" s="88"/>
      <c r="IA169" s="88"/>
      <c r="IB169" s="88"/>
      <c r="IC169" s="88"/>
      <c r="ID169" s="88"/>
      <c r="IE169" s="88"/>
      <c r="IF169" s="88"/>
      <c r="IG169" s="88"/>
      <c r="IH169" s="88"/>
      <c r="II169" s="88"/>
      <c r="IJ169" s="88"/>
      <c r="IK169" s="88"/>
      <c r="IL169" s="88"/>
      <c r="IM169" s="88"/>
      <c r="IN169" s="88"/>
      <c r="IO169" s="88"/>
      <c r="IP169" s="88"/>
      <c r="IQ169" s="88"/>
      <c r="IR169" s="88"/>
      <c r="IS169" s="88"/>
      <c r="IT169" s="88"/>
      <c r="IU169" s="88"/>
      <c r="IV169" s="88"/>
      <c r="IW169" s="88"/>
      <c r="IX169" s="92"/>
      <c r="IY169" s="87"/>
      <c r="IZ169" s="88"/>
      <c r="JA169" s="88"/>
      <c r="JB169" s="88"/>
      <c r="JC169" s="88"/>
      <c r="JD169" s="88"/>
      <c r="JE169" s="88"/>
      <c r="JF169" s="88"/>
      <c r="JG169" s="88"/>
      <c r="JH169" s="88"/>
      <c r="JI169" s="88"/>
      <c r="JJ169" s="88"/>
      <c r="JK169" s="88"/>
      <c r="JL169" s="88"/>
      <c r="JM169" s="88"/>
      <c r="JN169" s="88"/>
      <c r="JO169" s="88"/>
      <c r="JP169" s="88"/>
      <c r="JQ169" s="88"/>
      <c r="JR169" s="88"/>
      <c r="JS169" s="88"/>
      <c r="JT169" s="88"/>
      <c r="JU169" s="88"/>
      <c r="JV169" s="88"/>
      <c r="JW169" s="88"/>
      <c r="JX169" s="88"/>
      <c r="JY169" s="88"/>
      <c r="JZ169" s="88"/>
      <c r="KA169" s="251"/>
      <c r="KB169" s="90"/>
      <c r="KC169" s="88"/>
      <c r="KD169" s="88"/>
      <c r="KE169" s="88"/>
      <c r="KF169" s="88"/>
      <c r="KG169" s="88"/>
    </row>
    <row r="170" customFormat="false" ht="22.5" hidden="false" customHeight="true" outlineLevel="1" collapsed="false">
      <c r="B170" s="75" t="s">
        <v>463</v>
      </c>
      <c r="C170" s="217" t="s">
        <v>464</v>
      </c>
      <c r="D170" s="127" t="s">
        <v>465</v>
      </c>
      <c r="E170" s="218" t="n">
        <v>2</v>
      </c>
      <c r="F170" s="219" t="n">
        <v>0</v>
      </c>
      <c r="G170" s="220" t="n">
        <f aca="false">E170-F170</f>
        <v>2</v>
      </c>
      <c r="H170" s="222" t="n">
        <v>2</v>
      </c>
      <c r="I170" s="253" t="n">
        <v>8.3</v>
      </c>
      <c r="J170" s="149" t="n">
        <v>46335</v>
      </c>
      <c r="K170" s="144" t="n">
        <v>46336</v>
      </c>
      <c r="L170" s="143" t="n">
        <f aca="false">K170-J170</f>
        <v>1</v>
      </c>
      <c r="M170" s="224" t="n">
        <f aca="false">IFERROR(F170/E170,"")</f>
        <v>0</v>
      </c>
      <c r="N170" s="225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7"/>
      <c r="AK170" s="228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 s="226"/>
      <c r="BI170" s="226"/>
      <c r="BJ170" s="226"/>
      <c r="BK170" s="226"/>
      <c r="BL170" s="226"/>
      <c r="BM170" s="226"/>
      <c r="BN170" s="227"/>
      <c r="BO170" s="228"/>
      <c r="BP170" s="226"/>
      <c r="BQ170" s="226"/>
      <c r="BR170" s="226"/>
      <c r="BS170" s="226"/>
      <c r="BT170" s="226"/>
      <c r="BU170" s="226"/>
      <c r="BV170" s="226"/>
      <c r="BW170" s="226"/>
      <c r="BX170" s="226"/>
      <c r="BY170" s="226"/>
      <c r="BZ170" s="226"/>
      <c r="CA170" s="226"/>
      <c r="CB170" s="226"/>
      <c r="CC170" s="226"/>
      <c r="CD170" s="226"/>
      <c r="CE170" s="226"/>
      <c r="CF170" s="226"/>
      <c r="CG170" s="226"/>
      <c r="CH170" s="226"/>
      <c r="CI170" s="226"/>
      <c r="CJ170" s="226"/>
      <c r="CK170" s="226"/>
      <c r="CL170" s="226"/>
      <c r="CM170" s="226"/>
      <c r="CN170" s="226"/>
      <c r="CO170" s="226"/>
      <c r="CP170" s="226"/>
      <c r="CQ170" s="226"/>
      <c r="CR170" s="226"/>
      <c r="CS170" s="229"/>
      <c r="CT170" s="228"/>
      <c r="CU170" s="226"/>
      <c r="CV170" s="226"/>
      <c r="CW170" s="226"/>
      <c r="CX170" s="226"/>
      <c r="CY170" s="226"/>
      <c r="CZ170" s="226"/>
      <c r="DA170" s="226"/>
      <c r="DB170" s="226"/>
      <c r="DC170" s="226"/>
      <c r="DD170" s="226"/>
      <c r="DE170" s="226"/>
      <c r="DF170" s="226"/>
      <c r="DG170" s="226"/>
      <c r="DH170" s="226"/>
      <c r="DI170" s="226"/>
      <c r="DJ170" s="226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30"/>
      <c r="DV170" s="225"/>
      <c r="DW170" s="226"/>
      <c r="DX170" s="226"/>
      <c r="DY170" s="226"/>
      <c r="DZ170" s="226"/>
      <c r="EA170" s="226"/>
      <c r="EB170" s="226"/>
      <c r="EC170" s="226"/>
      <c r="ED170" s="226"/>
      <c r="EE170" s="226"/>
      <c r="EF170" s="226"/>
      <c r="EG170" s="226"/>
      <c r="EH170" s="226"/>
      <c r="EI170" s="226"/>
      <c r="EJ170" s="226"/>
      <c r="EK170" s="226"/>
      <c r="EL170" s="226"/>
      <c r="EM170" s="226"/>
      <c r="EN170" s="226"/>
      <c r="EO170" s="226"/>
      <c r="EP170" s="226"/>
      <c r="EQ170" s="226"/>
      <c r="ER170" s="226"/>
      <c r="ES170" s="226"/>
      <c r="ET170" s="226"/>
      <c r="EU170" s="226"/>
      <c r="EV170" s="226"/>
      <c r="EW170" s="226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226"/>
      <c r="FH170" s="226"/>
      <c r="FI170" s="226"/>
      <c r="FJ170" s="226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226"/>
      <c r="FU170" s="226"/>
      <c r="FV170" s="226"/>
      <c r="FW170" s="226"/>
      <c r="FX170" s="226"/>
      <c r="FY170" s="226"/>
      <c r="FZ170" s="226"/>
      <c r="GA170" s="226"/>
      <c r="GB170" s="226"/>
      <c r="GC170" s="226"/>
      <c r="GD170" s="226"/>
      <c r="GE170" s="226"/>
      <c r="GF170" s="226"/>
      <c r="GG170" s="226"/>
      <c r="GH170" s="226"/>
      <c r="GI170" s="226"/>
      <c r="GJ170" s="226"/>
      <c r="GK170" s="226"/>
      <c r="GL170" s="226"/>
      <c r="GM170" s="226"/>
      <c r="GN170" s="226"/>
      <c r="GO170" s="226"/>
      <c r="GP170" s="226"/>
      <c r="GQ170" s="226"/>
      <c r="GR170" s="226"/>
      <c r="GS170" s="226"/>
      <c r="GT170" s="226"/>
      <c r="GU170" s="226"/>
      <c r="GV170" s="226"/>
      <c r="GW170" s="226"/>
      <c r="GX170" s="226"/>
      <c r="GY170" s="226"/>
      <c r="GZ170" s="226"/>
      <c r="HA170" s="226"/>
      <c r="HB170" s="226"/>
      <c r="HC170" s="226"/>
      <c r="HD170" s="226"/>
      <c r="HE170" s="226"/>
      <c r="HF170" s="226"/>
      <c r="HG170" s="226"/>
      <c r="HH170" s="226"/>
      <c r="HI170" s="226"/>
      <c r="HJ170" s="226"/>
      <c r="HK170" s="226"/>
      <c r="HL170" s="226"/>
      <c r="HM170" s="226"/>
      <c r="HN170" s="226"/>
      <c r="HO170" s="230"/>
      <c r="HP170" s="225"/>
      <c r="HQ170" s="226"/>
      <c r="HR170" s="226"/>
      <c r="HS170" s="226"/>
      <c r="HT170" s="226"/>
      <c r="HU170" s="226"/>
      <c r="HV170" s="226"/>
      <c r="HW170" s="226"/>
      <c r="HX170" s="226"/>
      <c r="HY170" s="226"/>
      <c r="HZ170" s="226"/>
      <c r="IA170" s="226"/>
      <c r="IB170" s="226"/>
      <c r="IC170" s="226"/>
      <c r="ID170" s="226"/>
      <c r="IE170" s="226"/>
      <c r="IF170" s="226"/>
      <c r="IG170" s="226"/>
      <c r="IH170" s="226"/>
      <c r="II170" s="226"/>
      <c r="IJ170" s="226"/>
      <c r="IK170" s="226"/>
      <c r="IL170" s="226"/>
      <c r="IM170" s="226"/>
      <c r="IN170" s="226"/>
      <c r="IO170" s="226"/>
      <c r="IP170" s="226"/>
      <c r="IQ170" s="226"/>
      <c r="IR170" s="226"/>
      <c r="IS170" s="226"/>
      <c r="IT170" s="226"/>
      <c r="IU170" s="226"/>
      <c r="IV170" s="226"/>
      <c r="IW170" s="226"/>
      <c r="IX170" s="230"/>
      <c r="IY170" s="225"/>
      <c r="IZ170" s="226"/>
      <c r="JA170" s="226"/>
      <c r="JB170" s="226"/>
      <c r="JC170" s="226"/>
      <c r="JD170" s="226"/>
      <c r="JE170" s="226"/>
      <c r="JF170" s="226"/>
      <c r="JG170" s="226"/>
      <c r="JH170" s="226"/>
      <c r="JI170" s="226"/>
      <c r="JJ170" s="226"/>
      <c r="JK170" s="226"/>
      <c r="JL170" s="226"/>
      <c r="JM170" s="226"/>
      <c r="JN170" s="226"/>
      <c r="JO170" s="226"/>
      <c r="JP170" s="226"/>
      <c r="JQ170" s="226"/>
      <c r="JR170" s="226"/>
      <c r="JS170" s="226"/>
      <c r="JT170" s="226"/>
      <c r="JU170" s="226"/>
      <c r="JV170" s="226"/>
      <c r="JW170" s="226"/>
      <c r="JX170" s="226"/>
      <c r="JY170" s="226"/>
      <c r="JZ170" s="226"/>
      <c r="KA170" s="254"/>
      <c r="KB170" s="228"/>
      <c r="KC170" s="226"/>
      <c r="KD170" s="226"/>
      <c r="KE170" s="226"/>
      <c r="KF170" s="226"/>
      <c r="KG170" s="226"/>
    </row>
    <row r="171" customFormat="false" ht="22.5" hidden="false" customHeight="true" outlineLevel="1" collapsed="false">
      <c r="B171" s="75" t="s">
        <v>466</v>
      </c>
      <c r="C171" s="217" t="s">
        <v>467</v>
      </c>
      <c r="D171" s="127" t="s">
        <v>116</v>
      </c>
      <c r="E171" s="218" t="n">
        <v>2</v>
      </c>
      <c r="F171" s="219" t="n">
        <v>0</v>
      </c>
      <c r="G171" s="220" t="n">
        <f aca="false">E171-F171</f>
        <v>2</v>
      </c>
      <c r="H171" s="222" t="n">
        <v>3</v>
      </c>
      <c r="I171" s="253" t="n">
        <v>8.7</v>
      </c>
      <c r="J171" s="149" t="n">
        <v>46336</v>
      </c>
      <c r="K171" s="144" t="n">
        <v>46337</v>
      </c>
      <c r="L171" s="143" t="n">
        <f aca="false">K171-J171</f>
        <v>1</v>
      </c>
      <c r="M171" s="224" t="n">
        <f aca="false">IFERROR(F171/E171,"")</f>
        <v>0</v>
      </c>
      <c r="N171" s="225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7"/>
      <c r="AK171" s="228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 s="226"/>
      <c r="BI171" s="226"/>
      <c r="BJ171" s="226"/>
      <c r="BK171" s="226"/>
      <c r="BL171" s="226"/>
      <c r="BM171" s="226"/>
      <c r="BN171" s="227"/>
      <c r="BO171" s="228"/>
      <c r="BP171" s="226"/>
      <c r="BQ171" s="226"/>
      <c r="BR171" s="226"/>
      <c r="BS171" s="226"/>
      <c r="BT171" s="226"/>
      <c r="BU171" s="226"/>
      <c r="BV171" s="226"/>
      <c r="BW171" s="226"/>
      <c r="BX171" s="226"/>
      <c r="BY171" s="226"/>
      <c r="BZ171" s="226"/>
      <c r="CA171" s="226"/>
      <c r="CB171" s="226"/>
      <c r="CC171" s="226"/>
      <c r="CD171" s="226"/>
      <c r="CE171" s="226"/>
      <c r="CF171" s="226"/>
      <c r="CG171" s="226"/>
      <c r="CH171" s="226"/>
      <c r="CI171" s="226"/>
      <c r="CJ171" s="226"/>
      <c r="CK171" s="226"/>
      <c r="CL171" s="226"/>
      <c r="CM171" s="226"/>
      <c r="CN171" s="226"/>
      <c r="CO171" s="226"/>
      <c r="CP171" s="226"/>
      <c r="CQ171" s="226"/>
      <c r="CR171" s="226"/>
      <c r="CS171" s="229"/>
      <c r="CT171" s="228"/>
      <c r="CU171" s="226"/>
      <c r="CV171" s="226"/>
      <c r="CW171" s="226"/>
      <c r="CX171" s="226"/>
      <c r="CY171" s="226"/>
      <c r="CZ171" s="226"/>
      <c r="DA171" s="226"/>
      <c r="DB171" s="226"/>
      <c r="DC171" s="226"/>
      <c r="DD171" s="226"/>
      <c r="DE171" s="226"/>
      <c r="DF171" s="226"/>
      <c r="DG171" s="226"/>
      <c r="DH171" s="226"/>
      <c r="DI171" s="226"/>
      <c r="DJ171" s="226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30"/>
      <c r="DV171" s="225"/>
      <c r="DW171" s="226"/>
      <c r="DX171" s="226"/>
      <c r="DY171" s="226"/>
      <c r="DZ171" s="226"/>
      <c r="EA171" s="226"/>
      <c r="EB171" s="226"/>
      <c r="EC171" s="226"/>
      <c r="ED171" s="226"/>
      <c r="EE171" s="226"/>
      <c r="EF171" s="226"/>
      <c r="EG171" s="226"/>
      <c r="EH171" s="226"/>
      <c r="EI171" s="226"/>
      <c r="EJ171" s="226"/>
      <c r="EK171" s="226"/>
      <c r="EL171" s="226"/>
      <c r="EM171" s="226"/>
      <c r="EN171" s="226"/>
      <c r="EO171" s="226"/>
      <c r="EP171" s="226"/>
      <c r="EQ171" s="226"/>
      <c r="ER171" s="226"/>
      <c r="ES171" s="226"/>
      <c r="ET171" s="226"/>
      <c r="EU171" s="226"/>
      <c r="EV171" s="226"/>
      <c r="EW171" s="226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226"/>
      <c r="FH171" s="226"/>
      <c r="FI171" s="226"/>
      <c r="FJ171" s="226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226"/>
      <c r="FU171" s="226"/>
      <c r="FV171" s="226"/>
      <c r="FW171" s="226"/>
      <c r="FX171" s="226"/>
      <c r="FY171" s="226"/>
      <c r="FZ171" s="226"/>
      <c r="GA171" s="226"/>
      <c r="GB171" s="226"/>
      <c r="GC171" s="226"/>
      <c r="GD171" s="226"/>
      <c r="GE171" s="226"/>
      <c r="GF171" s="226"/>
      <c r="GG171" s="226"/>
      <c r="GH171" s="226"/>
      <c r="GI171" s="226"/>
      <c r="GJ171" s="226"/>
      <c r="GK171" s="226"/>
      <c r="GL171" s="226"/>
      <c r="GM171" s="226"/>
      <c r="GN171" s="226"/>
      <c r="GO171" s="226"/>
      <c r="GP171" s="226"/>
      <c r="GQ171" s="226"/>
      <c r="GR171" s="226"/>
      <c r="GS171" s="226"/>
      <c r="GT171" s="226"/>
      <c r="GU171" s="226"/>
      <c r="GV171" s="226"/>
      <c r="GW171" s="226"/>
      <c r="GX171" s="226"/>
      <c r="GY171" s="226"/>
      <c r="GZ171" s="226"/>
      <c r="HA171" s="226"/>
      <c r="HB171" s="226"/>
      <c r="HC171" s="226"/>
      <c r="HD171" s="226"/>
      <c r="HE171" s="226"/>
      <c r="HF171" s="226"/>
      <c r="HG171" s="226"/>
      <c r="HH171" s="226"/>
      <c r="HI171" s="226"/>
      <c r="HJ171" s="226"/>
      <c r="HK171" s="226"/>
      <c r="HL171" s="226"/>
      <c r="HM171" s="226"/>
      <c r="HN171" s="226"/>
      <c r="HO171" s="230"/>
      <c r="HP171" s="225"/>
      <c r="HQ171" s="226"/>
      <c r="HR171" s="226"/>
      <c r="HS171" s="226"/>
      <c r="HT171" s="226"/>
      <c r="HU171" s="226"/>
      <c r="HV171" s="226"/>
      <c r="HW171" s="226"/>
      <c r="HX171" s="226"/>
      <c r="HY171" s="226"/>
      <c r="HZ171" s="226"/>
      <c r="IA171" s="226"/>
      <c r="IB171" s="226"/>
      <c r="IC171" s="226"/>
      <c r="ID171" s="226"/>
      <c r="IE171" s="226"/>
      <c r="IF171" s="226"/>
      <c r="IG171" s="226"/>
      <c r="IH171" s="226"/>
      <c r="II171" s="226"/>
      <c r="IJ171" s="226"/>
      <c r="IK171" s="226"/>
      <c r="IL171" s="226"/>
      <c r="IM171" s="226"/>
      <c r="IN171" s="226"/>
      <c r="IO171" s="226"/>
      <c r="IP171" s="226"/>
      <c r="IQ171" s="226"/>
      <c r="IR171" s="226"/>
      <c r="IS171" s="226"/>
      <c r="IT171" s="226"/>
      <c r="IU171" s="226"/>
      <c r="IV171" s="226"/>
      <c r="IW171" s="226"/>
      <c r="IX171" s="230"/>
      <c r="IY171" s="225"/>
      <c r="IZ171" s="226"/>
      <c r="JA171" s="226"/>
      <c r="JB171" s="226"/>
      <c r="JC171" s="226"/>
      <c r="JD171" s="226"/>
      <c r="JE171" s="226"/>
      <c r="JF171" s="226"/>
      <c r="JG171" s="226"/>
      <c r="JH171" s="226"/>
      <c r="JI171" s="226"/>
      <c r="JJ171" s="226"/>
      <c r="JK171" s="226"/>
      <c r="JL171" s="226"/>
      <c r="JM171" s="226"/>
      <c r="JN171" s="226"/>
      <c r="JO171" s="226"/>
      <c r="JP171" s="226"/>
      <c r="JQ171" s="226"/>
      <c r="JR171" s="226"/>
      <c r="JS171" s="226"/>
      <c r="JT171" s="226"/>
      <c r="JU171" s="226"/>
      <c r="JV171" s="226"/>
      <c r="JW171" s="226"/>
      <c r="JX171" s="226"/>
      <c r="JY171" s="226"/>
      <c r="JZ171" s="226"/>
      <c r="KA171" s="254"/>
      <c r="KB171" s="228"/>
      <c r="KC171" s="226"/>
      <c r="KD171" s="226"/>
      <c r="KE171" s="226"/>
      <c r="KF171" s="226"/>
      <c r="KG171" s="226"/>
    </row>
    <row r="172" customFormat="false" ht="22.5" hidden="false" customHeight="true" outlineLevel="1" collapsed="false">
      <c r="B172" s="75" t="s">
        <v>468</v>
      </c>
      <c r="C172" s="217" t="s">
        <v>469</v>
      </c>
      <c r="D172" s="127" t="s">
        <v>321</v>
      </c>
      <c r="E172" s="218" t="n">
        <v>2</v>
      </c>
      <c r="F172" s="219" t="n">
        <v>0</v>
      </c>
      <c r="G172" s="220" t="n">
        <f aca="false">E172-F172</f>
        <v>2</v>
      </c>
      <c r="H172" s="222" t="n">
        <v>3</v>
      </c>
      <c r="I172" s="253" t="n">
        <v>8.3</v>
      </c>
      <c r="J172" s="149" t="n">
        <v>46337</v>
      </c>
      <c r="K172" s="144" t="n">
        <v>46338</v>
      </c>
      <c r="L172" s="143" t="n">
        <f aca="false">K172-J172</f>
        <v>1</v>
      </c>
      <c r="M172" s="224" t="n">
        <f aca="false">IFERROR(F172/E172,"")</f>
        <v>0</v>
      </c>
      <c r="N172" s="225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7"/>
      <c r="AK172" s="228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 s="226"/>
      <c r="BI172" s="226"/>
      <c r="BJ172" s="226"/>
      <c r="BK172" s="226"/>
      <c r="BL172" s="226"/>
      <c r="BM172" s="226"/>
      <c r="BN172" s="227"/>
      <c r="BO172" s="228"/>
      <c r="BP172" s="226"/>
      <c r="BQ172" s="226"/>
      <c r="BR172" s="226"/>
      <c r="BS172" s="226"/>
      <c r="BT172" s="226"/>
      <c r="BU172" s="226"/>
      <c r="BV172" s="226"/>
      <c r="BW172" s="226"/>
      <c r="BX172" s="226"/>
      <c r="BY172" s="226"/>
      <c r="BZ172" s="226"/>
      <c r="CA172" s="226"/>
      <c r="CB172" s="226"/>
      <c r="CC172" s="226"/>
      <c r="CD172" s="226"/>
      <c r="CE172" s="226"/>
      <c r="CF172" s="226"/>
      <c r="CG172" s="226"/>
      <c r="CH172" s="226"/>
      <c r="CI172" s="226"/>
      <c r="CJ172" s="226"/>
      <c r="CK172" s="226"/>
      <c r="CL172" s="226"/>
      <c r="CM172" s="226"/>
      <c r="CN172" s="226"/>
      <c r="CO172" s="226"/>
      <c r="CP172" s="226"/>
      <c r="CQ172" s="226"/>
      <c r="CR172" s="226"/>
      <c r="CS172" s="229"/>
      <c r="CT172" s="228"/>
      <c r="CU172" s="226"/>
      <c r="CV172" s="226"/>
      <c r="CW172" s="226"/>
      <c r="CX172" s="226"/>
      <c r="CY172" s="226"/>
      <c r="CZ172" s="226"/>
      <c r="DA172" s="226"/>
      <c r="DB172" s="226"/>
      <c r="DC172" s="226"/>
      <c r="DD172" s="226"/>
      <c r="DE172" s="226"/>
      <c r="DF172" s="226"/>
      <c r="DG172" s="226"/>
      <c r="DH172" s="226"/>
      <c r="DI172" s="226"/>
      <c r="DJ172" s="226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30"/>
      <c r="DV172" s="225"/>
      <c r="DW172" s="226"/>
      <c r="DX172" s="226"/>
      <c r="DY172" s="226"/>
      <c r="DZ172" s="226"/>
      <c r="EA172" s="226"/>
      <c r="EB172" s="226"/>
      <c r="EC172" s="226"/>
      <c r="ED172" s="226"/>
      <c r="EE172" s="226"/>
      <c r="EF172" s="226"/>
      <c r="EG172" s="226"/>
      <c r="EH172" s="226"/>
      <c r="EI172" s="226"/>
      <c r="EJ172" s="226"/>
      <c r="EK172" s="226"/>
      <c r="EL172" s="226"/>
      <c r="EM172" s="226"/>
      <c r="EN172" s="226"/>
      <c r="EO172" s="226"/>
      <c r="EP172" s="226"/>
      <c r="EQ172" s="226"/>
      <c r="ER172" s="226"/>
      <c r="ES172" s="226"/>
      <c r="ET172" s="226"/>
      <c r="EU172" s="226"/>
      <c r="EV172" s="226"/>
      <c r="EW172" s="226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226"/>
      <c r="FH172" s="226"/>
      <c r="FI172" s="226"/>
      <c r="FJ172" s="226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226"/>
      <c r="FU172" s="226"/>
      <c r="FV172" s="226"/>
      <c r="FW172" s="226"/>
      <c r="FX172" s="226"/>
      <c r="FY172" s="226"/>
      <c r="FZ172" s="226"/>
      <c r="GA172" s="226"/>
      <c r="GB172" s="226"/>
      <c r="GC172" s="226"/>
      <c r="GD172" s="226"/>
      <c r="GE172" s="226"/>
      <c r="GF172" s="226"/>
      <c r="GG172" s="226"/>
      <c r="GH172" s="226"/>
      <c r="GI172" s="226"/>
      <c r="GJ172" s="226"/>
      <c r="GK172" s="226"/>
      <c r="GL172" s="226"/>
      <c r="GM172" s="226"/>
      <c r="GN172" s="226"/>
      <c r="GO172" s="226"/>
      <c r="GP172" s="226"/>
      <c r="GQ172" s="226"/>
      <c r="GR172" s="226"/>
      <c r="GS172" s="226"/>
      <c r="GT172" s="226"/>
      <c r="GU172" s="226"/>
      <c r="GV172" s="226"/>
      <c r="GW172" s="226"/>
      <c r="GX172" s="226"/>
      <c r="GY172" s="226"/>
      <c r="GZ172" s="226"/>
      <c r="HA172" s="226"/>
      <c r="HB172" s="226"/>
      <c r="HC172" s="226"/>
      <c r="HD172" s="226"/>
      <c r="HE172" s="226"/>
      <c r="HF172" s="226"/>
      <c r="HG172" s="226"/>
      <c r="HH172" s="226"/>
      <c r="HI172" s="226"/>
      <c r="HJ172" s="226"/>
      <c r="HK172" s="226"/>
      <c r="HL172" s="226"/>
      <c r="HM172" s="226"/>
      <c r="HN172" s="226"/>
      <c r="HO172" s="230"/>
      <c r="HP172" s="225"/>
      <c r="HQ172" s="226"/>
      <c r="HR172" s="226"/>
      <c r="HS172" s="226"/>
      <c r="HT172" s="226"/>
      <c r="HU172" s="226"/>
      <c r="HV172" s="226"/>
      <c r="HW172" s="226"/>
      <c r="HX172" s="226"/>
      <c r="HY172" s="226"/>
      <c r="HZ172" s="226"/>
      <c r="IA172" s="226"/>
      <c r="IB172" s="226"/>
      <c r="IC172" s="226"/>
      <c r="ID172" s="226"/>
      <c r="IE172" s="226"/>
      <c r="IF172" s="226"/>
      <c r="IG172" s="226"/>
      <c r="IH172" s="226"/>
      <c r="II172" s="226"/>
      <c r="IJ172" s="226"/>
      <c r="IK172" s="226"/>
      <c r="IL172" s="226"/>
      <c r="IM172" s="226"/>
      <c r="IN172" s="226"/>
      <c r="IO172" s="226"/>
      <c r="IP172" s="226"/>
      <c r="IQ172" s="226"/>
      <c r="IR172" s="226"/>
      <c r="IS172" s="226"/>
      <c r="IT172" s="226"/>
      <c r="IU172" s="226"/>
      <c r="IV172" s="226"/>
      <c r="IW172" s="226"/>
      <c r="IX172" s="230"/>
      <c r="IY172" s="225"/>
      <c r="IZ172" s="226"/>
      <c r="JA172" s="226"/>
      <c r="JB172" s="226"/>
      <c r="JC172" s="226"/>
      <c r="JD172" s="226"/>
      <c r="JE172" s="226"/>
      <c r="JF172" s="226"/>
      <c r="JG172" s="226"/>
      <c r="JH172" s="226"/>
      <c r="JI172" s="226"/>
      <c r="JJ172" s="226"/>
      <c r="JK172" s="226"/>
      <c r="JL172" s="226"/>
      <c r="JM172" s="226"/>
      <c r="JN172" s="226"/>
      <c r="JO172" s="226"/>
      <c r="JP172" s="226"/>
      <c r="JQ172" s="226"/>
      <c r="JR172" s="226"/>
      <c r="JS172" s="226"/>
      <c r="JT172" s="226"/>
      <c r="JU172" s="226"/>
      <c r="JV172" s="226"/>
      <c r="JW172" s="226"/>
      <c r="JX172" s="226"/>
      <c r="JY172" s="226"/>
      <c r="JZ172" s="226"/>
      <c r="KA172" s="254"/>
      <c r="KB172" s="228"/>
      <c r="KC172" s="226"/>
      <c r="KD172" s="226"/>
      <c r="KE172" s="226"/>
      <c r="KF172" s="226"/>
      <c r="KG172" s="226"/>
    </row>
    <row r="173" customFormat="false" ht="22.5" hidden="false" customHeight="true" outlineLevel="1" collapsed="false">
      <c r="B173" s="75" t="s">
        <v>470</v>
      </c>
      <c r="C173" s="217" t="s">
        <v>471</v>
      </c>
      <c r="D173" s="127" t="s">
        <v>472</v>
      </c>
      <c r="E173" s="218" t="n">
        <v>2</v>
      </c>
      <c r="F173" s="219" t="n">
        <v>0</v>
      </c>
      <c r="G173" s="220" t="n">
        <f aca="false">E173-F173</f>
        <v>2</v>
      </c>
      <c r="H173" s="222" t="n">
        <v>3</v>
      </c>
      <c r="I173" s="253" t="n">
        <v>8.7</v>
      </c>
      <c r="J173" s="149" t="n">
        <v>46338</v>
      </c>
      <c r="K173" s="144" t="n">
        <v>46339</v>
      </c>
      <c r="L173" s="143" t="n">
        <f aca="false">K173-J173</f>
        <v>1</v>
      </c>
      <c r="M173" s="224" t="n">
        <f aca="false">IFERROR(F173/E173,"")</f>
        <v>0</v>
      </c>
      <c r="N173" s="225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7"/>
      <c r="AK173" s="228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 s="226"/>
      <c r="BI173" s="226"/>
      <c r="BJ173" s="226"/>
      <c r="BK173" s="226"/>
      <c r="BL173" s="226"/>
      <c r="BM173" s="226"/>
      <c r="BN173" s="227"/>
      <c r="BO173" s="228"/>
      <c r="BP173" s="226"/>
      <c r="BQ173" s="226"/>
      <c r="BR173" s="226"/>
      <c r="BS173" s="226"/>
      <c r="BT173" s="226"/>
      <c r="BU173" s="226"/>
      <c r="BV173" s="226"/>
      <c r="BW173" s="226"/>
      <c r="BX173" s="226"/>
      <c r="BY173" s="226"/>
      <c r="BZ173" s="226"/>
      <c r="CA173" s="226"/>
      <c r="CB173" s="226"/>
      <c r="CC173" s="226"/>
      <c r="CD173" s="226"/>
      <c r="CE173" s="226"/>
      <c r="CF173" s="226"/>
      <c r="CG173" s="226"/>
      <c r="CH173" s="226"/>
      <c r="CI173" s="226"/>
      <c r="CJ173" s="226"/>
      <c r="CK173" s="226"/>
      <c r="CL173" s="226"/>
      <c r="CM173" s="226"/>
      <c r="CN173" s="226"/>
      <c r="CO173" s="226"/>
      <c r="CP173" s="226"/>
      <c r="CQ173" s="226"/>
      <c r="CR173" s="226"/>
      <c r="CS173" s="229"/>
      <c r="CT173" s="228"/>
      <c r="CU173" s="226"/>
      <c r="CV173" s="226"/>
      <c r="CW173" s="226"/>
      <c r="CX173" s="226"/>
      <c r="CY173" s="226"/>
      <c r="CZ173" s="226"/>
      <c r="DA173" s="226"/>
      <c r="DB173" s="226"/>
      <c r="DC173" s="226"/>
      <c r="DD173" s="226"/>
      <c r="DE173" s="226"/>
      <c r="DF173" s="226"/>
      <c r="DG173" s="226"/>
      <c r="DH173" s="226"/>
      <c r="DI173" s="226"/>
      <c r="DJ173" s="226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30"/>
      <c r="DV173" s="225"/>
      <c r="DW173" s="226"/>
      <c r="DX173" s="226"/>
      <c r="DY173" s="226"/>
      <c r="DZ173" s="226"/>
      <c r="EA173" s="226"/>
      <c r="EB173" s="226"/>
      <c r="EC173" s="226"/>
      <c r="ED173" s="226"/>
      <c r="EE173" s="226"/>
      <c r="EF173" s="226"/>
      <c r="EG173" s="226"/>
      <c r="EH173" s="226"/>
      <c r="EI173" s="226"/>
      <c r="EJ173" s="226"/>
      <c r="EK173" s="226"/>
      <c r="EL173" s="226"/>
      <c r="EM173" s="226"/>
      <c r="EN173" s="226"/>
      <c r="EO173" s="226"/>
      <c r="EP173" s="226"/>
      <c r="EQ173" s="226"/>
      <c r="ER173" s="226"/>
      <c r="ES173" s="226"/>
      <c r="ET173" s="226"/>
      <c r="EU173" s="226"/>
      <c r="EV173" s="226"/>
      <c r="EW173" s="226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226"/>
      <c r="FH173" s="226"/>
      <c r="FI173" s="226"/>
      <c r="FJ173" s="226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226"/>
      <c r="FU173" s="226"/>
      <c r="FV173" s="226"/>
      <c r="FW173" s="226"/>
      <c r="FX173" s="226"/>
      <c r="FY173" s="226"/>
      <c r="FZ173" s="226"/>
      <c r="GA173" s="226"/>
      <c r="GB173" s="226"/>
      <c r="GC173" s="226"/>
      <c r="GD173" s="226"/>
      <c r="GE173" s="226"/>
      <c r="GF173" s="226"/>
      <c r="GG173" s="226"/>
      <c r="GH173" s="226"/>
      <c r="GI173" s="226"/>
      <c r="GJ173" s="226"/>
      <c r="GK173" s="226"/>
      <c r="GL173" s="226"/>
      <c r="GM173" s="226"/>
      <c r="GN173" s="226"/>
      <c r="GO173" s="226"/>
      <c r="GP173" s="226"/>
      <c r="GQ173" s="226"/>
      <c r="GR173" s="226"/>
      <c r="GS173" s="226"/>
      <c r="GT173" s="226"/>
      <c r="GU173" s="226"/>
      <c r="GV173" s="226"/>
      <c r="GW173" s="226"/>
      <c r="GX173" s="226"/>
      <c r="GY173" s="226"/>
      <c r="GZ173" s="226"/>
      <c r="HA173" s="226"/>
      <c r="HB173" s="226"/>
      <c r="HC173" s="226"/>
      <c r="HD173" s="226"/>
      <c r="HE173" s="226"/>
      <c r="HF173" s="226"/>
      <c r="HG173" s="226"/>
      <c r="HH173" s="226"/>
      <c r="HI173" s="226"/>
      <c r="HJ173" s="226"/>
      <c r="HK173" s="226"/>
      <c r="HL173" s="226"/>
      <c r="HM173" s="226"/>
      <c r="HN173" s="226"/>
      <c r="HO173" s="230"/>
      <c r="HP173" s="225"/>
      <c r="HQ173" s="226"/>
      <c r="HR173" s="226"/>
      <c r="HS173" s="226"/>
      <c r="HT173" s="226"/>
      <c r="HU173" s="226"/>
      <c r="HV173" s="226"/>
      <c r="HW173" s="226"/>
      <c r="HX173" s="226"/>
      <c r="HY173" s="226"/>
      <c r="HZ173" s="226"/>
      <c r="IA173" s="226"/>
      <c r="IB173" s="226"/>
      <c r="IC173" s="226"/>
      <c r="ID173" s="226"/>
      <c r="IE173" s="226"/>
      <c r="IF173" s="226"/>
      <c r="IG173" s="226"/>
      <c r="IH173" s="226"/>
      <c r="II173" s="226"/>
      <c r="IJ173" s="226"/>
      <c r="IK173" s="226"/>
      <c r="IL173" s="226"/>
      <c r="IM173" s="226"/>
      <c r="IN173" s="226"/>
      <c r="IO173" s="226"/>
      <c r="IP173" s="226"/>
      <c r="IQ173" s="226"/>
      <c r="IR173" s="226"/>
      <c r="IS173" s="226"/>
      <c r="IT173" s="226"/>
      <c r="IU173" s="226"/>
      <c r="IV173" s="226"/>
      <c r="IW173" s="226"/>
      <c r="IX173" s="230"/>
      <c r="IY173" s="225"/>
      <c r="IZ173" s="226"/>
      <c r="JA173" s="226"/>
      <c r="JB173" s="226"/>
      <c r="JC173" s="226"/>
      <c r="JD173" s="226"/>
      <c r="JE173" s="226"/>
      <c r="JF173" s="226"/>
      <c r="JG173" s="226"/>
      <c r="JH173" s="226"/>
      <c r="JI173" s="226"/>
      <c r="JJ173" s="226"/>
      <c r="JK173" s="226"/>
      <c r="JL173" s="226"/>
      <c r="JM173" s="226"/>
      <c r="JN173" s="226"/>
      <c r="JO173" s="226"/>
      <c r="JP173" s="226"/>
      <c r="JQ173" s="226"/>
      <c r="JR173" s="226"/>
      <c r="JS173" s="226"/>
      <c r="JT173" s="226"/>
      <c r="JU173" s="226"/>
      <c r="JV173" s="226"/>
      <c r="JW173" s="226"/>
      <c r="JX173" s="226"/>
      <c r="JY173" s="226"/>
      <c r="JZ173" s="226"/>
      <c r="KA173" s="254"/>
      <c r="KB173" s="228"/>
      <c r="KC173" s="226"/>
      <c r="KD173" s="226"/>
      <c r="KE173" s="226"/>
      <c r="KF173" s="226"/>
      <c r="KG173" s="226"/>
    </row>
    <row r="174" customFormat="false" ht="22.5" hidden="false" customHeight="true" outlineLevel="1" collapsed="false">
      <c r="B174" s="75" t="s">
        <v>473</v>
      </c>
      <c r="C174" s="217" t="s">
        <v>474</v>
      </c>
      <c r="D174" s="127" t="s">
        <v>73</v>
      </c>
      <c r="E174" s="218" t="n">
        <v>2</v>
      </c>
      <c r="F174" s="219" t="n">
        <v>0</v>
      </c>
      <c r="G174" s="220" t="n">
        <f aca="false">E174-F174</f>
        <v>2</v>
      </c>
      <c r="H174" s="222" t="n">
        <v>4</v>
      </c>
      <c r="I174" s="253" t="n">
        <v>8.7</v>
      </c>
      <c r="J174" s="149" t="n">
        <v>46338</v>
      </c>
      <c r="K174" s="144" t="n">
        <v>46339</v>
      </c>
      <c r="L174" s="143" t="n">
        <f aca="false">K174-J174</f>
        <v>1</v>
      </c>
      <c r="M174" s="224" t="n">
        <f aca="false">IFERROR(F174/E174,"")</f>
        <v>0</v>
      </c>
      <c r="N174" s="225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7"/>
      <c r="AK174" s="228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228"/>
      <c r="BP174" s="226"/>
      <c r="BQ174" s="226"/>
      <c r="BR174" s="226"/>
      <c r="BS174" s="226"/>
      <c r="BT174" s="226"/>
      <c r="BU174" s="226"/>
      <c r="BV174" s="226"/>
      <c r="BW174" s="226"/>
      <c r="BX174" s="226"/>
      <c r="BY174" s="226"/>
      <c r="BZ174" s="226"/>
      <c r="CA174" s="226"/>
      <c r="CB174" s="226"/>
      <c r="CC174" s="226"/>
      <c r="CD174" s="226"/>
      <c r="CE174" s="226"/>
      <c r="CF174" s="226"/>
      <c r="CG174" s="226"/>
      <c r="CH174" s="226"/>
      <c r="CI174" s="226"/>
      <c r="CJ174" s="226"/>
      <c r="CK174" s="226"/>
      <c r="CL174" s="226"/>
      <c r="CM174" s="226"/>
      <c r="CN174" s="226"/>
      <c r="CO174" s="226"/>
      <c r="CP174" s="226"/>
      <c r="CQ174" s="226"/>
      <c r="CR174" s="226"/>
      <c r="CS174" s="229"/>
      <c r="CT174" s="228"/>
      <c r="CU174" s="226"/>
      <c r="CV174" s="226"/>
      <c r="CW174" s="226"/>
      <c r="CX174" s="226"/>
      <c r="CY174" s="226"/>
      <c r="CZ174" s="226"/>
      <c r="DA174" s="226"/>
      <c r="DB174" s="226"/>
      <c r="DC174" s="226"/>
      <c r="DD174" s="226"/>
      <c r="DE174" s="226"/>
      <c r="DF174" s="226"/>
      <c r="DG174" s="226"/>
      <c r="DH174" s="226"/>
      <c r="DI174" s="226"/>
      <c r="DJ174" s="226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30"/>
      <c r="DV174" s="225"/>
      <c r="DW174" s="226"/>
      <c r="DX174" s="226"/>
      <c r="DY174" s="226"/>
      <c r="DZ174" s="226"/>
      <c r="EA174" s="226"/>
      <c r="EB174" s="226"/>
      <c r="EC174" s="226"/>
      <c r="ED174" s="226"/>
      <c r="EE174" s="226"/>
      <c r="EF174" s="226"/>
      <c r="EG174" s="226"/>
      <c r="EH174" s="226"/>
      <c r="EI174" s="226"/>
      <c r="EJ174" s="226"/>
      <c r="EK174" s="226"/>
      <c r="EL174" s="226"/>
      <c r="EM174" s="226"/>
      <c r="EN174" s="226"/>
      <c r="EO174" s="226"/>
      <c r="EP174" s="226"/>
      <c r="EQ174" s="226"/>
      <c r="ER174" s="226"/>
      <c r="ES174" s="226"/>
      <c r="ET174" s="226"/>
      <c r="EU174" s="226"/>
      <c r="EV174" s="226"/>
      <c r="EW174" s="226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226"/>
      <c r="FH174" s="226"/>
      <c r="FI174" s="226"/>
      <c r="FJ174" s="226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226"/>
      <c r="FU174" s="226"/>
      <c r="FV174" s="226"/>
      <c r="FW174" s="226"/>
      <c r="FX174" s="226"/>
      <c r="FY174" s="226"/>
      <c r="FZ174" s="226"/>
      <c r="GA174" s="226"/>
      <c r="GB174" s="226"/>
      <c r="GC174" s="226"/>
      <c r="GD174" s="226"/>
      <c r="GE174" s="226"/>
      <c r="GF174" s="226"/>
      <c r="GG174" s="226"/>
      <c r="GH174" s="226"/>
      <c r="GI174" s="226"/>
      <c r="GJ174" s="226"/>
      <c r="GK174" s="226"/>
      <c r="GL174" s="226"/>
      <c r="GM174" s="226"/>
      <c r="GN174" s="226"/>
      <c r="GO174" s="226"/>
      <c r="GP174" s="226"/>
      <c r="GQ174" s="226"/>
      <c r="GR174" s="226"/>
      <c r="GS174" s="226"/>
      <c r="GT174" s="226"/>
      <c r="GU174" s="226"/>
      <c r="GV174" s="226"/>
      <c r="GW174" s="226"/>
      <c r="GX174" s="226"/>
      <c r="GY174" s="226"/>
      <c r="GZ174" s="226"/>
      <c r="HA174" s="226"/>
      <c r="HB174" s="226"/>
      <c r="HC174" s="226"/>
      <c r="HD174" s="226"/>
      <c r="HE174" s="226"/>
      <c r="HF174" s="226"/>
      <c r="HG174" s="226"/>
      <c r="HH174" s="226"/>
      <c r="HI174" s="226"/>
      <c r="HJ174" s="226"/>
      <c r="HK174" s="226"/>
      <c r="HL174" s="226"/>
      <c r="HM174" s="226"/>
      <c r="HN174" s="226"/>
      <c r="HO174" s="230"/>
      <c r="HP174" s="225"/>
      <c r="HQ174" s="226"/>
      <c r="HR174" s="226"/>
      <c r="HS174" s="226"/>
      <c r="HT174" s="226"/>
      <c r="HU174" s="226"/>
      <c r="HV174" s="226"/>
      <c r="HW174" s="226"/>
      <c r="HX174" s="226"/>
      <c r="HY174" s="226"/>
      <c r="HZ174" s="226"/>
      <c r="IA174" s="226"/>
      <c r="IB174" s="226"/>
      <c r="IC174" s="226"/>
      <c r="ID174" s="226"/>
      <c r="IE174" s="226"/>
      <c r="IF174" s="226"/>
      <c r="IG174" s="226"/>
      <c r="IH174" s="226"/>
      <c r="II174" s="226"/>
      <c r="IJ174" s="226"/>
      <c r="IK174" s="226"/>
      <c r="IL174" s="226"/>
      <c r="IM174" s="226"/>
      <c r="IN174" s="226"/>
      <c r="IO174" s="226"/>
      <c r="IP174" s="226"/>
      <c r="IQ174" s="226"/>
      <c r="IR174" s="226"/>
      <c r="IS174" s="226"/>
      <c r="IT174" s="226"/>
      <c r="IU174" s="226"/>
      <c r="IV174" s="226"/>
      <c r="IW174" s="226"/>
      <c r="IX174" s="230"/>
      <c r="IY174" s="225"/>
      <c r="IZ174" s="226"/>
      <c r="JA174" s="226"/>
      <c r="JB174" s="226"/>
      <c r="JC174" s="226"/>
      <c r="JD174" s="226"/>
      <c r="JE174" s="226"/>
      <c r="JF174" s="226"/>
      <c r="JG174" s="226"/>
      <c r="JH174" s="226"/>
      <c r="JI174" s="226"/>
      <c r="JJ174" s="226"/>
      <c r="JK174" s="226"/>
      <c r="JL174" s="226"/>
      <c r="JM174" s="226"/>
      <c r="JN174" s="226"/>
      <c r="JO174" s="226"/>
      <c r="JP174" s="226"/>
      <c r="JQ174" s="226"/>
      <c r="JR174" s="226"/>
      <c r="JS174" s="226"/>
      <c r="JT174" s="226"/>
      <c r="JU174" s="226"/>
      <c r="JV174" s="226"/>
      <c r="JW174" s="226"/>
      <c r="JX174" s="226"/>
      <c r="JY174" s="226"/>
      <c r="JZ174" s="226"/>
      <c r="KA174" s="254"/>
      <c r="KB174" s="228"/>
      <c r="KC174" s="226"/>
      <c r="KD174" s="226"/>
      <c r="KE174" s="226"/>
      <c r="KF174" s="226"/>
      <c r="KG174" s="226"/>
    </row>
    <row r="175" customFormat="false" ht="22.5" hidden="false" customHeight="true" outlineLevel="1" collapsed="false">
      <c r="B175" s="75" t="s">
        <v>475</v>
      </c>
      <c r="C175" s="217" t="s">
        <v>476</v>
      </c>
      <c r="D175" s="127" t="s">
        <v>477</v>
      </c>
      <c r="E175" s="218" t="n">
        <v>2</v>
      </c>
      <c r="F175" s="219" t="n">
        <v>0</v>
      </c>
      <c r="G175" s="220" t="n">
        <f aca="false">E175-F175</f>
        <v>2</v>
      </c>
      <c r="H175" s="222" t="n">
        <v>4</v>
      </c>
      <c r="I175" s="253" t="s">
        <v>478</v>
      </c>
      <c r="J175" s="149" t="n">
        <v>46339</v>
      </c>
      <c r="K175" s="144" t="n">
        <v>46339</v>
      </c>
      <c r="L175" s="143" t="n">
        <f aca="false">K175-J175</f>
        <v>0</v>
      </c>
      <c r="M175" s="224" t="n">
        <f aca="false">IFERROR(F175/E175,"")</f>
        <v>0</v>
      </c>
      <c r="N175" s="225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7"/>
      <c r="AK175" s="228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 s="226"/>
      <c r="BI175" s="226"/>
      <c r="BJ175" s="226"/>
      <c r="BK175" s="226"/>
      <c r="BL175" s="226"/>
      <c r="BM175" s="226"/>
      <c r="BN175" s="227"/>
      <c r="BO175" s="228"/>
      <c r="BP175" s="226"/>
      <c r="BQ175" s="226"/>
      <c r="BR175" s="226"/>
      <c r="BS175" s="226"/>
      <c r="BT175" s="226"/>
      <c r="BU175" s="226"/>
      <c r="BV175" s="226"/>
      <c r="BW175" s="226"/>
      <c r="BX175" s="226"/>
      <c r="BY175" s="226"/>
      <c r="BZ175" s="226"/>
      <c r="CA175" s="226"/>
      <c r="CB175" s="226"/>
      <c r="CC175" s="226"/>
      <c r="CD175" s="226"/>
      <c r="CE175" s="226"/>
      <c r="CF175" s="226"/>
      <c r="CG175" s="226"/>
      <c r="CH175" s="226"/>
      <c r="CI175" s="226"/>
      <c r="CJ175" s="226"/>
      <c r="CK175" s="226"/>
      <c r="CL175" s="226"/>
      <c r="CM175" s="226"/>
      <c r="CN175" s="226"/>
      <c r="CO175" s="226"/>
      <c r="CP175" s="226"/>
      <c r="CQ175" s="226"/>
      <c r="CR175" s="226"/>
      <c r="CS175" s="229"/>
      <c r="CT175" s="228"/>
      <c r="CU175" s="226"/>
      <c r="CV175" s="226"/>
      <c r="CW175" s="226"/>
      <c r="CX175" s="226"/>
      <c r="CY175" s="226"/>
      <c r="CZ175" s="226"/>
      <c r="DA175" s="226"/>
      <c r="DB175" s="226"/>
      <c r="DC175" s="226"/>
      <c r="DD175" s="226"/>
      <c r="DE175" s="226"/>
      <c r="DF175" s="226"/>
      <c r="DG175" s="226"/>
      <c r="DH175" s="226"/>
      <c r="DI175" s="226"/>
      <c r="DJ175" s="226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30"/>
      <c r="DV175" s="225"/>
      <c r="DW175" s="226"/>
      <c r="DX175" s="226"/>
      <c r="DY175" s="226"/>
      <c r="DZ175" s="226"/>
      <c r="EA175" s="226"/>
      <c r="EB175" s="226"/>
      <c r="EC175" s="226"/>
      <c r="ED175" s="226"/>
      <c r="EE175" s="226"/>
      <c r="EF175" s="226"/>
      <c r="EG175" s="226"/>
      <c r="EH175" s="226"/>
      <c r="EI175" s="226"/>
      <c r="EJ175" s="226"/>
      <c r="EK175" s="226"/>
      <c r="EL175" s="226"/>
      <c r="EM175" s="226"/>
      <c r="EN175" s="226"/>
      <c r="EO175" s="226"/>
      <c r="EP175" s="226"/>
      <c r="EQ175" s="226"/>
      <c r="ER175" s="226"/>
      <c r="ES175" s="226"/>
      <c r="ET175" s="226"/>
      <c r="EU175" s="226"/>
      <c r="EV175" s="226"/>
      <c r="EW175" s="226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226"/>
      <c r="FH175" s="226"/>
      <c r="FI175" s="226"/>
      <c r="FJ175" s="226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226"/>
      <c r="FU175" s="226"/>
      <c r="FV175" s="226"/>
      <c r="FW175" s="226"/>
      <c r="FX175" s="226"/>
      <c r="FY175" s="226"/>
      <c r="FZ175" s="226"/>
      <c r="GA175" s="226"/>
      <c r="GB175" s="226"/>
      <c r="GC175" s="226"/>
      <c r="GD175" s="226"/>
      <c r="GE175" s="226"/>
      <c r="GF175" s="226"/>
      <c r="GG175" s="226"/>
      <c r="GH175" s="226"/>
      <c r="GI175" s="226"/>
      <c r="GJ175" s="226"/>
      <c r="GK175" s="226"/>
      <c r="GL175" s="226"/>
      <c r="GM175" s="226"/>
      <c r="GN175" s="226"/>
      <c r="GO175" s="226"/>
      <c r="GP175" s="226"/>
      <c r="GQ175" s="226"/>
      <c r="GR175" s="226"/>
      <c r="GS175" s="226"/>
      <c r="GT175" s="226"/>
      <c r="GU175" s="226"/>
      <c r="GV175" s="226"/>
      <c r="GW175" s="226"/>
      <c r="GX175" s="226"/>
      <c r="GY175" s="226"/>
      <c r="GZ175" s="226"/>
      <c r="HA175" s="226"/>
      <c r="HB175" s="226"/>
      <c r="HC175" s="226"/>
      <c r="HD175" s="226"/>
      <c r="HE175" s="226"/>
      <c r="HF175" s="226"/>
      <c r="HG175" s="226"/>
      <c r="HH175" s="226"/>
      <c r="HI175" s="226"/>
      <c r="HJ175" s="226"/>
      <c r="HK175" s="226"/>
      <c r="HL175" s="226"/>
      <c r="HM175" s="226"/>
      <c r="HN175" s="226"/>
      <c r="HO175" s="230"/>
      <c r="HP175" s="225"/>
      <c r="HQ175" s="226"/>
      <c r="HR175" s="226"/>
      <c r="HS175" s="226"/>
      <c r="HT175" s="226"/>
      <c r="HU175" s="226"/>
      <c r="HV175" s="226"/>
      <c r="HW175" s="226"/>
      <c r="HX175" s="226"/>
      <c r="HY175" s="226"/>
      <c r="HZ175" s="226"/>
      <c r="IA175" s="226"/>
      <c r="IB175" s="226"/>
      <c r="IC175" s="226"/>
      <c r="ID175" s="226"/>
      <c r="IE175" s="226"/>
      <c r="IF175" s="226"/>
      <c r="IG175" s="226"/>
      <c r="IH175" s="226"/>
      <c r="II175" s="226"/>
      <c r="IJ175" s="226"/>
      <c r="IK175" s="226"/>
      <c r="IL175" s="226"/>
      <c r="IM175" s="226"/>
      <c r="IN175" s="226"/>
      <c r="IO175" s="226"/>
      <c r="IP175" s="226"/>
      <c r="IQ175" s="226"/>
      <c r="IR175" s="226"/>
      <c r="IS175" s="226"/>
      <c r="IT175" s="226"/>
      <c r="IU175" s="226"/>
      <c r="IV175" s="226"/>
      <c r="IW175" s="226"/>
      <c r="IX175" s="230"/>
      <c r="IY175" s="225"/>
      <c r="IZ175" s="226"/>
      <c r="JA175" s="226"/>
      <c r="JB175" s="226"/>
      <c r="JC175" s="226"/>
      <c r="JD175" s="226"/>
      <c r="JE175" s="226"/>
      <c r="JF175" s="226"/>
      <c r="JG175" s="226"/>
      <c r="JH175" s="226"/>
      <c r="JI175" s="226"/>
      <c r="JJ175" s="226"/>
      <c r="JK175" s="226"/>
      <c r="JL175" s="226"/>
      <c r="JM175" s="226"/>
      <c r="JN175" s="226"/>
      <c r="JO175" s="226"/>
      <c r="JP175" s="226"/>
      <c r="JQ175" s="226"/>
      <c r="JR175" s="226"/>
      <c r="JS175" s="226"/>
      <c r="JT175" s="226"/>
      <c r="JU175" s="226"/>
      <c r="JV175" s="226"/>
      <c r="JW175" s="226"/>
      <c r="JX175" s="226"/>
      <c r="JY175" s="226"/>
      <c r="JZ175" s="226"/>
      <c r="KA175" s="254"/>
      <c r="KB175" s="228"/>
      <c r="KC175" s="226"/>
      <c r="KD175" s="226"/>
      <c r="KE175" s="226"/>
      <c r="KF175" s="226"/>
      <c r="KG175" s="226"/>
    </row>
    <row r="176" customFormat="false" ht="22.5" hidden="false" customHeight="true" outlineLevel="1" collapsed="false">
      <c r="B176" s="75" t="s">
        <v>479</v>
      </c>
      <c r="C176" s="217" t="s">
        <v>480</v>
      </c>
      <c r="D176" s="127" t="s">
        <v>73</v>
      </c>
      <c r="E176" s="218" t="n">
        <v>2</v>
      </c>
      <c r="F176" s="219" t="n">
        <v>0</v>
      </c>
      <c r="G176" s="220" t="n">
        <f aca="false">E176-F176</f>
        <v>2</v>
      </c>
      <c r="H176" s="222" t="n">
        <v>5</v>
      </c>
      <c r="I176" s="253" t="n">
        <v>8.12</v>
      </c>
      <c r="J176" s="149" t="n">
        <v>46339</v>
      </c>
      <c r="K176" s="144" t="n">
        <v>46340</v>
      </c>
      <c r="L176" s="143" t="n">
        <f aca="false">K176-J176</f>
        <v>1</v>
      </c>
      <c r="M176" s="224" t="n">
        <f aca="false">IFERROR(F176/E176,"")</f>
        <v>0</v>
      </c>
      <c r="N176" s="225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7"/>
      <c r="AK176" s="228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 s="226"/>
      <c r="BI176" s="226"/>
      <c r="BJ176" s="226"/>
      <c r="BK176" s="226"/>
      <c r="BL176" s="226"/>
      <c r="BM176" s="226"/>
      <c r="BN176" s="227"/>
      <c r="BO176" s="228"/>
      <c r="BP176" s="226"/>
      <c r="BQ176" s="226"/>
      <c r="BR176" s="226"/>
      <c r="BS176" s="226"/>
      <c r="BT176" s="226"/>
      <c r="BU176" s="226"/>
      <c r="BV176" s="226"/>
      <c r="BW176" s="226"/>
      <c r="BX176" s="226"/>
      <c r="BY176" s="226"/>
      <c r="BZ176" s="226"/>
      <c r="CA176" s="226"/>
      <c r="CB176" s="226"/>
      <c r="CC176" s="226"/>
      <c r="CD176" s="226"/>
      <c r="CE176" s="226"/>
      <c r="CF176" s="226"/>
      <c r="CG176" s="226"/>
      <c r="CH176" s="226"/>
      <c r="CI176" s="226"/>
      <c r="CJ176" s="226"/>
      <c r="CK176" s="226"/>
      <c r="CL176" s="226"/>
      <c r="CM176" s="226"/>
      <c r="CN176" s="226"/>
      <c r="CO176" s="226"/>
      <c r="CP176" s="226"/>
      <c r="CQ176" s="226"/>
      <c r="CR176" s="226"/>
      <c r="CS176" s="229"/>
      <c r="CT176" s="228"/>
      <c r="CU176" s="226"/>
      <c r="CV176" s="226"/>
      <c r="CW176" s="226"/>
      <c r="CX176" s="226"/>
      <c r="CY176" s="226"/>
      <c r="CZ176" s="226"/>
      <c r="DA176" s="226"/>
      <c r="DB176" s="226"/>
      <c r="DC176" s="226"/>
      <c r="DD176" s="226"/>
      <c r="DE176" s="226"/>
      <c r="DF176" s="226"/>
      <c r="DG176" s="226"/>
      <c r="DH176" s="226"/>
      <c r="DI176" s="226"/>
      <c r="DJ176" s="226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30"/>
      <c r="DV176" s="225"/>
      <c r="DW176" s="226"/>
      <c r="DX176" s="226"/>
      <c r="DY176" s="226"/>
      <c r="DZ176" s="226"/>
      <c r="EA176" s="226"/>
      <c r="EB176" s="226"/>
      <c r="EC176" s="226"/>
      <c r="ED176" s="226"/>
      <c r="EE176" s="226"/>
      <c r="EF176" s="226"/>
      <c r="EG176" s="226"/>
      <c r="EH176" s="226"/>
      <c r="EI176" s="226"/>
      <c r="EJ176" s="226"/>
      <c r="EK176" s="226"/>
      <c r="EL176" s="226"/>
      <c r="EM176" s="226"/>
      <c r="EN176" s="226"/>
      <c r="EO176" s="226"/>
      <c r="EP176" s="226"/>
      <c r="EQ176" s="226"/>
      <c r="ER176" s="226"/>
      <c r="ES176" s="226"/>
      <c r="ET176" s="226"/>
      <c r="EU176" s="226"/>
      <c r="EV176" s="226"/>
      <c r="EW176" s="226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226"/>
      <c r="FH176" s="226"/>
      <c r="FI176" s="226"/>
      <c r="FJ176" s="226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226"/>
      <c r="FU176" s="226"/>
      <c r="FV176" s="226"/>
      <c r="FW176" s="226"/>
      <c r="FX176" s="226"/>
      <c r="FY176" s="226"/>
      <c r="FZ176" s="226"/>
      <c r="GA176" s="226"/>
      <c r="GB176" s="226"/>
      <c r="GC176" s="226"/>
      <c r="GD176" s="226"/>
      <c r="GE176" s="226"/>
      <c r="GF176" s="226"/>
      <c r="GG176" s="226"/>
      <c r="GH176" s="226"/>
      <c r="GI176" s="226"/>
      <c r="GJ176" s="226"/>
      <c r="GK176" s="226"/>
      <c r="GL176" s="226"/>
      <c r="GM176" s="226"/>
      <c r="GN176" s="226"/>
      <c r="GO176" s="226"/>
      <c r="GP176" s="226"/>
      <c r="GQ176" s="226"/>
      <c r="GR176" s="226"/>
      <c r="GS176" s="226"/>
      <c r="GT176" s="226"/>
      <c r="GU176" s="226"/>
      <c r="GV176" s="226"/>
      <c r="GW176" s="226"/>
      <c r="GX176" s="226"/>
      <c r="GY176" s="226"/>
      <c r="GZ176" s="226"/>
      <c r="HA176" s="226"/>
      <c r="HB176" s="226"/>
      <c r="HC176" s="226"/>
      <c r="HD176" s="226"/>
      <c r="HE176" s="226"/>
      <c r="HF176" s="226"/>
      <c r="HG176" s="226"/>
      <c r="HH176" s="226"/>
      <c r="HI176" s="226"/>
      <c r="HJ176" s="226"/>
      <c r="HK176" s="226"/>
      <c r="HL176" s="226"/>
      <c r="HM176" s="226"/>
      <c r="HN176" s="226"/>
      <c r="HO176" s="230"/>
      <c r="HP176" s="225"/>
      <c r="HQ176" s="226"/>
      <c r="HR176" s="226"/>
      <c r="HS176" s="226"/>
      <c r="HT176" s="226"/>
      <c r="HU176" s="226"/>
      <c r="HV176" s="226"/>
      <c r="HW176" s="226"/>
      <c r="HX176" s="226"/>
      <c r="HY176" s="226"/>
      <c r="HZ176" s="226"/>
      <c r="IA176" s="226"/>
      <c r="IB176" s="226"/>
      <c r="IC176" s="226"/>
      <c r="ID176" s="226"/>
      <c r="IE176" s="226"/>
      <c r="IF176" s="226"/>
      <c r="IG176" s="226"/>
      <c r="IH176" s="226"/>
      <c r="II176" s="226"/>
      <c r="IJ176" s="226"/>
      <c r="IK176" s="226"/>
      <c r="IL176" s="226"/>
      <c r="IM176" s="226"/>
      <c r="IN176" s="226"/>
      <c r="IO176" s="226"/>
      <c r="IP176" s="226"/>
      <c r="IQ176" s="226"/>
      <c r="IR176" s="226"/>
      <c r="IS176" s="226"/>
      <c r="IT176" s="226"/>
      <c r="IU176" s="226"/>
      <c r="IV176" s="226"/>
      <c r="IW176" s="226"/>
      <c r="IX176" s="230"/>
      <c r="IY176" s="225"/>
      <c r="IZ176" s="226"/>
      <c r="JA176" s="226"/>
      <c r="JB176" s="226"/>
      <c r="JC176" s="226"/>
      <c r="JD176" s="226"/>
      <c r="JE176" s="226"/>
      <c r="JF176" s="226"/>
      <c r="JG176" s="226"/>
      <c r="JH176" s="226"/>
      <c r="JI176" s="226"/>
      <c r="JJ176" s="226"/>
      <c r="JK176" s="226"/>
      <c r="JL176" s="226"/>
      <c r="JM176" s="226"/>
      <c r="JN176" s="226"/>
      <c r="JO176" s="226"/>
      <c r="JP176" s="226"/>
      <c r="JQ176" s="226"/>
      <c r="JR176" s="226"/>
      <c r="JS176" s="226"/>
      <c r="JT176" s="226"/>
      <c r="JU176" s="226"/>
      <c r="JV176" s="226"/>
      <c r="JW176" s="226"/>
      <c r="JX176" s="226"/>
      <c r="JY176" s="226"/>
      <c r="JZ176" s="226"/>
      <c r="KA176" s="254"/>
      <c r="KB176" s="228"/>
      <c r="KC176" s="226"/>
      <c r="KD176" s="226"/>
      <c r="KE176" s="226"/>
      <c r="KF176" s="226"/>
      <c r="KG176" s="226"/>
    </row>
    <row r="177" customFormat="false" ht="22.5" hidden="false" customHeight="true" outlineLevel="1" collapsed="false">
      <c r="B177" s="75" t="s">
        <v>481</v>
      </c>
      <c r="C177" s="217" t="s">
        <v>482</v>
      </c>
      <c r="D177" s="127" t="s">
        <v>73</v>
      </c>
      <c r="E177" s="218" t="n">
        <v>2</v>
      </c>
      <c r="F177" s="219" t="n">
        <v>0</v>
      </c>
      <c r="G177" s="220" t="n">
        <f aca="false">E177-F177</f>
        <v>2</v>
      </c>
      <c r="H177" s="222" t="n">
        <v>5</v>
      </c>
      <c r="I177" s="253" t="n">
        <v>8.13</v>
      </c>
      <c r="J177" s="149" t="n">
        <v>46340</v>
      </c>
      <c r="K177" s="144" t="n">
        <v>46340</v>
      </c>
      <c r="L177" s="143" t="n">
        <f aca="false">K177-J177</f>
        <v>0</v>
      </c>
      <c r="M177" s="224" t="n">
        <f aca="false">IFERROR(F177/E177,"")</f>
        <v>0</v>
      </c>
      <c r="N177" s="225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7"/>
      <c r="AK177" s="228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 s="226"/>
      <c r="BI177" s="226"/>
      <c r="BJ177" s="226"/>
      <c r="BK177" s="226"/>
      <c r="BL177" s="226"/>
      <c r="BM177" s="226"/>
      <c r="BN177" s="227"/>
      <c r="BO177" s="228"/>
      <c r="BP177" s="226"/>
      <c r="BQ177" s="226"/>
      <c r="BR177" s="226"/>
      <c r="BS177" s="226"/>
      <c r="BT177" s="226"/>
      <c r="BU177" s="226"/>
      <c r="BV177" s="226"/>
      <c r="BW177" s="226"/>
      <c r="BX177" s="226"/>
      <c r="BY177" s="226"/>
      <c r="BZ177" s="226"/>
      <c r="CA177" s="226"/>
      <c r="CB177" s="226"/>
      <c r="CC177" s="226"/>
      <c r="CD177" s="226"/>
      <c r="CE177" s="226"/>
      <c r="CF177" s="226"/>
      <c r="CG177" s="226"/>
      <c r="CH177" s="226"/>
      <c r="CI177" s="226"/>
      <c r="CJ177" s="226"/>
      <c r="CK177" s="226"/>
      <c r="CL177" s="226"/>
      <c r="CM177" s="226"/>
      <c r="CN177" s="226"/>
      <c r="CO177" s="226"/>
      <c r="CP177" s="226"/>
      <c r="CQ177" s="226"/>
      <c r="CR177" s="226"/>
      <c r="CS177" s="229"/>
      <c r="CT177" s="228"/>
      <c r="CU177" s="226"/>
      <c r="CV177" s="226"/>
      <c r="CW177" s="226"/>
      <c r="CX177" s="226"/>
      <c r="CY177" s="226"/>
      <c r="CZ177" s="226"/>
      <c r="DA177" s="226"/>
      <c r="DB177" s="226"/>
      <c r="DC177" s="226"/>
      <c r="DD177" s="226"/>
      <c r="DE177" s="226"/>
      <c r="DF177" s="226"/>
      <c r="DG177" s="226"/>
      <c r="DH177" s="226"/>
      <c r="DI177" s="226"/>
      <c r="DJ177" s="226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30"/>
      <c r="DV177" s="225"/>
      <c r="DW177" s="226"/>
      <c r="DX177" s="226"/>
      <c r="DY177" s="226"/>
      <c r="DZ177" s="226"/>
      <c r="EA177" s="226"/>
      <c r="EB177" s="226"/>
      <c r="EC177" s="226"/>
      <c r="ED177" s="226"/>
      <c r="EE177" s="226"/>
      <c r="EF177" s="226"/>
      <c r="EG177" s="226"/>
      <c r="EH177" s="226"/>
      <c r="EI177" s="226"/>
      <c r="EJ177" s="226"/>
      <c r="EK177" s="226"/>
      <c r="EL177" s="226"/>
      <c r="EM177" s="226"/>
      <c r="EN177" s="226"/>
      <c r="EO177" s="226"/>
      <c r="EP177" s="226"/>
      <c r="EQ177" s="226"/>
      <c r="ER177" s="226"/>
      <c r="ES177" s="226"/>
      <c r="ET177" s="226"/>
      <c r="EU177" s="226"/>
      <c r="EV177" s="226"/>
      <c r="EW177" s="226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226"/>
      <c r="FH177" s="226"/>
      <c r="FI177" s="226"/>
      <c r="FJ177" s="226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226"/>
      <c r="FU177" s="226"/>
      <c r="FV177" s="226"/>
      <c r="FW177" s="226"/>
      <c r="FX177" s="226"/>
      <c r="FY177" s="226"/>
      <c r="FZ177" s="226"/>
      <c r="GA177" s="226"/>
      <c r="GB177" s="226"/>
      <c r="GC177" s="226"/>
      <c r="GD177" s="226"/>
      <c r="GE177" s="226"/>
      <c r="GF177" s="226"/>
      <c r="GG177" s="226"/>
      <c r="GH177" s="226"/>
      <c r="GI177" s="226"/>
      <c r="GJ177" s="226"/>
      <c r="GK177" s="226"/>
      <c r="GL177" s="226"/>
      <c r="GM177" s="226"/>
      <c r="GN177" s="226"/>
      <c r="GO177" s="226"/>
      <c r="GP177" s="226"/>
      <c r="GQ177" s="226"/>
      <c r="GR177" s="226"/>
      <c r="GS177" s="226"/>
      <c r="GT177" s="226"/>
      <c r="GU177" s="226"/>
      <c r="GV177" s="226"/>
      <c r="GW177" s="226"/>
      <c r="GX177" s="226"/>
      <c r="GY177" s="226"/>
      <c r="GZ177" s="226"/>
      <c r="HA177" s="226"/>
      <c r="HB177" s="226"/>
      <c r="HC177" s="226"/>
      <c r="HD177" s="226"/>
      <c r="HE177" s="226"/>
      <c r="HF177" s="226"/>
      <c r="HG177" s="226"/>
      <c r="HH177" s="226"/>
      <c r="HI177" s="226"/>
      <c r="HJ177" s="226"/>
      <c r="HK177" s="226"/>
      <c r="HL177" s="226"/>
      <c r="HM177" s="226"/>
      <c r="HN177" s="226"/>
      <c r="HO177" s="230"/>
      <c r="HP177" s="225"/>
      <c r="HQ177" s="226"/>
      <c r="HR177" s="226"/>
      <c r="HS177" s="226"/>
      <c r="HT177" s="226"/>
      <c r="HU177" s="226"/>
      <c r="HV177" s="226"/>
      <c r="HW177" s="226"/>
      <c r="HX177" s="226"/>
      <c r="HY177" s="226"/>
      <c r="HZ177" s="226"/>
      <c r="IA177" s="226"/>
      <c r="IB177" s="226"/>
      <c r="IC177" s="226"/>
      <c r="ID177" s="226"/>
      <c r="IE177" s="226"/>
      <c r="IF177" s="226"/>
      <c r="IG177" s="226"/>
      <c r="IH177" s="226"/>
      <c r="II177" s="226"/>
      <c r="IJ177" s="226"/>
      <c r="IK177" s="226"/>
      <c r="IL177" s="226"/>
      <c r="IM177" s="226"/>
      <c r="IN177" s="226"/>
      <c r="IO177" s="226"/>
      <c r="IP177" s="226"/>
      <c r="IQ177" s="226"/>
      <c r="IR177" s="226"/>
      <c r="IS177" s="226"/>
      <c r="IT177" s="226"/>
      <c r="IU177" s="226"/>
      <c r="IV177" s="226"/>
      <c r="IW177" s="226"/>
      <c r="IX177" s="230"/>
      <c r="IY177" s="225"/>
      <c r="IZ177" s="226"/>
      <c r="JA177" s="226"/>
      <c r="JB177" s="226"/>
      <c r="JC177" s="226"/>
      <c r="JD177" s="226"/>
      <c r="JE177" s="226"/>
      <c r="JF177" s="226"/>
      <c r="JG177" s="226"/>
      <c r="JH177" s="226"/>
      <c r="JI177" s="226"/>
      <c r="JJ177" s="226"/>
      <c r="JK177" s="226"/>
      <c r="JL177" s="226"/>
      <c r="JM177" s="226"/>
      <c r="JN177" s="226"/>
      <c r="JO177" s="226"/>
      <c r="JP177" s="226"/>
      <c r="JQ177" s="226"/>
      <c r="JR177" s="226"/>
      <c r="JS177" s="226"/>
      <c r="JT177" s="226"/>
      <c r="JU177" s="226"/>
      <c r="JV177" s="226"/>
      <c r="JW177" s="226"/>
      <c r="JX177" s="226"/>
      <c r="JY177" s="226"/>
      <c r="JZ177" s="226"/>
      <c r="KA177" s="254"/>
      <c r="KB177" s="228"/>
      <c r="KC177" s="226"/>
      <c r="KD177" s="226"/>
      <c r="KE177" s="226"/>
      <c r="KF177" s="226"/>
      <c r="KG177" s="226"/>
    </row>
    <row r="178" customFormat="false" ht="22.5" hidden="false" customHeight="true" outlineLevel="1" collapsed="false">
      <c r="B178" s="106" t="s">
        <v>483</v>
      </c>
      <c r="C178" s="233" t="s">
        <v>484</v>
      </c>
      <c r="D178" s="246" t="s">
        <v>485</v>
      </c>
      <c r="E178" s="151" t="n">
        <v>2</v>
      </c>
      <c r="F178" s="152" t="n">
        <v>0</v>
      </c>
      <c r="G178" s="153" t="n">
        <f aca="false">E178-F178</f>
        <v>2</v>
      </c>
      <c r="H178" s="234" t="n">
        <v>5</v>
      </c>
      <c r="I178" s="255" t="n">
        <v>8.12</v>
      </c>
      <c r="J178" s="247" t="n">
        <v>46340</v>
      </c>
      <c r="K178" s="248" t="n">
        <v>46340</v>
      </c>
      <c r="L178" s="156" t="n">
        <f aca="false">K178-J178</f>
        <v>0</v>
      </c>
      <c r="M178" s="157" t="n">
        <f aca="false">IFERROR(F178/E178,"")</f>
        <v>0</v>
      </c>
      <c r="N178" s="235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7"/>
      <c r="AK178" s="238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236"/>
      <c r="BG178" s="236"/>
      <c r="BH178" s="236"/>
      <c r="BI178" s="236"/>
      <c r="BJ178" s="236"/>
      <c r="BK178" s="236"/>
      <c r="BL178" s="236"/>
      <c r="BM178" s="236"/>
      <c r="BN178" s="237"/>
      <c r="BO178" s="238"/>
      <c r="BP178" s="236"/>
      <c r="BQ178" s="236"/>
      <c r="BR178" s="236"/>
      <c r="BS178" s="236"/>
      <c r="BT178" s="236"/>
      <c r="BU178" s="236"/>
      <c r="BV178" s="236"/>
      <c r="BW178" s="236"/>
      <c r="BX178" s="236"/>
      <c r="BY178" s="236"/>
      <c r="BZ178" s="236"/>
      <c r="CA178" s="236"/>
      <c r="CB178" s="236"/>
      <c r="CC178" s="236"/>
      <c r="CD178" s="236"/>
      <c r="CE178" s="236"/>
      <c r="CF178" s="236"/>
      <c r="CG178" s="236"/>
      <c r="CH178" s="236"/>
      <c r="CI178" s="236"/>
      <c r="CJ178" s="236"/>
      <c r="CK178" s="236"/>
      <c r="CL178" s="236"/>
      <c r="CM178" s="236"/>
      <c r="CN178" s="236"/>
      <c r="CO178" s="236"/>
      <c r="CP178" s="236"/>
      <c r="CQ178" s="236"/>
      <c r="CR178" s="236"/>
      <c r="CS178" s="239"/>
      <c r="CT178" s="238"/>
      <c r="CU178" s="236"/>
      <c r="CV178" s="236"/>
      <c r="CW178" s="236"/>
      <c r="CX178" s="236"/>
      <c r="CY178" s="236"/>
      <c r="CZ178" s="236"/>
      <c r="DA178" s="236"/>
      <c r="DB178" s="236"/>
      <c r="DC178" s="236"/>
      <c r="DD178" s="236"/>
      <c r="DE178" s="236"/>
      <c r="DF178" s="236"/>
      <c r="DG178" s="236"/>
      <c r="DH178" s="236"/>
      <c r="DI178" s="236"/>
      <c r="DJ178" s="236"/>
      <c r="DK178" s="236"/>
      <c r="DL178" s="236"/>
      <c r="DM178" s="236"/>
      <c r="DN178" s="236"/>
      <c r="DO178" s="236"/>
      <c r="DP178" s="236"/>
      <c r="DQ178" s="236"/>
      <c r="DR178" s="236"/>
      <c r="DS178" s="236"/>
      <c r="DT178" s="236"/>
      <c r="DU178" s="240"/>
      <c r="DV178" s="235"/>
      <c r="DW178" s="236"/>
      <c r="DX178" s="236"/>
      <c r="DY178" s="236"/>
      <c r="DZ178" s="236"/>
      <c r="EA178" s="236"/>
      <c r="EB178" s="236"/>
      <c r="EC178" s="236"/>
      <c r="ED178" s="236"/>
      <c r="EE178" s="236"/>
      <c r="EF178" s="236"/>
      <c r="EG178" s="236"/>
      <c r="EH178" s="236"/>
      <c r="EI178" s="236"/>
      <c r="EJ178" s="236"/>
      <c r="EK178" s="236"/>
      <c r="EL178" s="236"/>
      <c r="EM178" s="236"/>
      <c r="EN178" s="236"/>
      <c r="EO178" s="236"/>
      <c r="EP178" s="236"/>
      <c r="EQ178" s="236"/>
      <c r="ER178" s="236"/>
      <c r="ES178" s="236"/>
      <c r="ET178" s="236"/>
      <c r="EU178" s="236"/>
      <c r="EV178" s="236"/>
      <c r="EW178" s="236"/>
      <c r="EX178" s="236"/>
      <c r="EY178" s="236"/>
      <c r="EZ178" s="236"/>
      <c r="FA178" s="236"/>
      <c r="FB178" s="236"/>
      <c r="FC178" s="236"/>
      <c r="FD178" s="236"/>
      <c r="FE178" s="236"/>
      <c r="FF178" s="236"/>
      <c r="FG178" s="236"/>
      <c r="FH178" s="236"/>
      <c r="FI178" s="236"/>
      <c r="FJ178" s="236"/>
      <c r="FK178" s="236"/>
      <c r="FL178" s="236"/>
      <c r="FM178" s="236"/>
      <c r="FN178" s="236"/>
      <c r="FO178" s="236"/>
      <c r="FP178" s="236"/>
      <c r="FQ178" s="236"/>
      <c r="FR178" s="236"/>
      <c r="FS178" s="236"/>
      <c r="FT178" s="236"/>
      <c r="FU178" s="236"/>
      <c r="FV178" s="236"/>
      <c r="FW178" s="236"/>
      <c r="FX178" s="236"/>
      <c r="FY178" s="236"/>
      <c r="FZ178" s="236"/>
      <c r="GA178" s="236"/>
      <c r="GB178" s="236"/>
      <c r="GC178" s="236"/>
      <c r="GD178" s="236"/>
      <c r="GE178" s="236"/>
      <c r="GF178" s="236"/>
      <c r="GG178" s="236"/>
      <c r="GH178" s="236"/>
      <c r="GI178" s="236"/>
      <c r="GJ178" s="236"/>
      <c r="GK178" s="236"/>
      <c r="GL178" s="236"/>
      <c r="GM178" s="236"/>
      <c r="GN178" s="236"/>
      <c r="GO178" s="236"/>
      <c r="GP178" s="236"/>
      <c r="GQ178" s="236"/>
      <c r="GR178" s="236"/>
      <c r="GS178" s="236"/>
      <c r="GT178" s="236"/>
      <c r="GU178" s="236"/>
      <c r="GV178" s="236"/>
      <c r="GW178" s="236"/>
      <c r="GX178" s="236"/>
      <c r="GY178" s="236"/>
      <c r="GZ178" s="236"/>
      <c r="HA178" s="236"/>
      <c r="HB178" s="236"/>
      <c r="HC178" s="236"/>
      <c r="HD178" s="236"/>
      <c r="HE178" s="236"/>
      <c r="HF178" s="236"/>
      <c r="HG178" s="236"/>
      <c r="HH178" s="236"/>
      <c r="HI178" s="236"/>
      <c r="HJ178" s="236"/>
      <c r="HK178" s="236"/>
      <c r="HL178" s="236"/>
      <c r="HM178" s="236"/>
      <c r="HN178" s="236"/>
      <c r="HO178" s="240"/>
      <c r="HP178" s="235"/>
      <c r="HQ178" s="236"/>
      <c r="HR178" s="236"/>
      <c r="HS178" s="236"/>
      <c r="HT178" s="236"/>
      <c r="HU178" s="236"/>
      <c r="HV178" s="236"/>
      <c r="HW178" s="236"/>
      <c r="HX178" s="236"/>
      <c r="HY178" s="236"/>
      <c r="HZ178" s="236"/>
      <c r="IA178" s="236"/>
      <c r="IB178" s="236"/>
      <c r="IC178" s="236"/>
      <c r="ID178" s="236"/>
      <c r="IE178" s="236"/>
      <c r="IF178" s="236"/>
      <c r="IG178" s="236"/>
      <c r="IH178" s="236"/>
      <c r="II178" s="236"/>
      <c r="IJ178" s="236"/>
      <c r="IK178" s="236"/>
      <c r="IL178" s="236"/>
      <c r="IM178" s="236"/>
      <c r="IN178" s="236"/>
      <c r="IO178" s="236"/>
      <c r="IP178" s="236"/>
      <c r="IQ178" s="236"/>
      <c r="IR178" s="236"/>
      <c r="IS178" s="236"/>
      <c r="IT178" s="236"/>
      <c r="IU178" s="236"/>
      <c r="IV178" s="236"/>
      <c r="IW178" s="236"/>
      <c r="IX178" s="240"/>
      <c r="IY178" s="235"/>
      <c r="IZ178" s="236"/>
      <c r="JA178" s="236"/>
      <c r="JB178" s="236"/>
      <c r="JC178" s="236"/>
      <c r="JD178" s="236"/>
      <c r="JE178" s="236"/>
      <c r="JF178" s="236"/>
      <c r="JG178" s="236"/>
      <c r="JH178" s="236"/>
      <c r="JI178" s="236"/>
      <c r="JJ178" s="236"/>
      <c r="JK178" s="236"/>
      <c r="JL178" s="236"/>
      <c r="JM178" s="236"/>
      <c r="JN178" s="236"/>
      <c r="JO178" s="236"/>
      <c r="JP178" s="236"/>
      <c r="JQ178" s="236"/>
      <c r="JR178" s="236"/>
      <c r="JS178" s="236"/>
      <c r="JT178" s="236"/>
      <c r="JU178" s="236"/>
      <c r="JV178" s="236"/>
      <c r="JW178" s="236"/>
      <c r="JX178" s="236"/>
      <c r="JY178" s="236"/>
      <c r="JZ178" s="236"/>
      <c r="KA178" s="256"/>
      <c r="KB178" s="238"/>
      <c r="KC178" s="236"/>
      <c r="KD178" s="236"/>
      <c r="KE178" s="236"/>
      <c r="KF178" s="236"/>
      <c r="KG178" s="236"/>
    </row>
    <row r="179" customFormat="false" ht="15.75" hidden="false" customHeight="true" outlineLevel="0" collapsed="false">
      <c r="H179" s="8"/>
      <c r="I179" s="8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</row>
    <row r="180" customFormat="false" ht="15.75" hidden="false" customHeight="true" outlineLevel="0" collapsed="false">
      <c r="C180" s="257"/>
      <c r="D180" s="257"/>
      <c r="E180" s="258" t="s">
        <v>486</v>
      </c>
      <c r="F180" s="258" t="s">
        <v>487</v>
      </c>
      <c r="G180" s="258" t="s">
        <v>488</v>
      </c>
      <c r="H180" s="258" t="s">
        <v>489</v>
      </c>
      <c r="I180" s="258"/>
      <c r="J180" s="258"/>
      <c r="K180" s="257"/>
      <c r="L180" s="258" t="s">
        <v>490</v>
      </c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</row>
    <row r="181" customFormat="false" ht="20.25" hidden="false" customHeight="true" outlineLevel="0" collapsed="false">
      <c r="C181" s="259" t="s">
        <v>491</v>
      </c>
      <c r="D181" s="260" t="s">
        <v>492</v>
      </c>
      <c r="E181" s="261" t="n">
        <f aca="false">SUM($E$184:$E$191)</f>
        <v>585</v>
      </c>
      <c r="F181" s="261" t="n">
        <f aca="false">SUM($F$184:$F$191)</f>
        <v>416</v>
      </c>
      <c r="G181" s="261" t="n">
        <f aca="false">SUM($G$184:$G$191)</f>
        <v>169</v>
      </c>
      <c r="H181" s="262" t="n">
        <f aca="false">SUM($H$12:$H$178)</f>
        <v>471</v>
      </c>
      <c r="I181" s="261"/>
      <c r="J181" s="263"/>
      <c r="K181" s="257"/>
      <c r="L181" s="264" t="n">
        <f aca="false">SUM($L$12:$L$32,$L$34:$L$54,$L$56:$L$71,$L$73:$L$104,$L$106:$L$130,$L$132:$L$146,$L$148:$L$162,$L$164:$L$178)</f>
        <v>327</v>
      </c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</row>
    <row r="182" customFormat="false" ht="20.25" hidden="false" customHeight="true" outlineLevel="0" collapsed="false">
      <c r="C182" s="259"/>
      <c r="D182" s="260"/>
      <c r="E182" s="261"/>
      <c r="F182" s="261"/>
      <c r="G182" s="261"/>
      <c r="H182" s="261"/>
      <c r="I182" s="261"/>
      <c r="J182" s="263"/>
      <c r="L182" s="261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</row>
    <row r="183" customFormat="false" ht="20.25" hidden="false" customHeight="true" outlineLevel="0" collapsed="false">
      <c r="D183" s="265" t="s">
        <v>493</v>
      </c>
      <c r="E183" s="261"/>
      <c r="F183" s="261"/>
      <c r="G183" s="261"/>
      <c r="H183" s="261"/>
      <c r="I183" s="261"/>
      <c r="J183" s="266" t="s">
        <v>494</v>
      </c>
      <c r="K183" s="266"/>
      <c r="L183" s="266"/>
      <c r="M183" s="266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</row>
    <row r="184" customFormat="false" ht="24.75" hidden="false" customHeight="true" outlineLevel="0" collapsed="false">
      <c r="D184" s="267" t="str">
        <f aca="false">$C$11</f>
        <v>ETAPA 01 - Definición de proyecto</v>
      </c>
      <c r="E184" s="268" t="n">
        <f aca="false">SUM(E$12:E$32)</f>
        <v>146</v>
      </c>
      <c r="F184" s="269" t="n">
        <f aca="false">SUM(F$12:F$32)</f>
        <v>146</v>
      </c>
      <c r="G184" s="270" t="n">
        <f aca="false">SUM(G$12:G$32)</f>
        <v>0</v>
      </c>
      <c r="H184" s="261"/>
      <c r="I184" s="261"/>
      <c r="J184" s="271" t="s">
        <v>495</v>
      </c>
      <c r="K184" s="271"/>
      <c r="L184" s="271"/>
      <c r="M184" s="271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</row>
    <row r="185" customFormat="false" ht="24.75" hidden="false" customHeight="true" outlineLevel="0" collapsed="false">
      <c r="C185" s="265"/>
      <c r="D185" s="272" t="str">
        <f aca="false">$C$33</f>
        <v>ETAPA 02 - Mockup</v>
      </c>
      <c r="E185" s="273" t="n">
        <f aca="false">SUM(E$34:E$54)</f>
        <v>100</v>
      </c>
      <c r="F185" s="274" t="n">
        <f aca="false">SUM(F$34:F$54)</f>
        <v>100</v>
      </c>
      <c r="G185" s="275" t="n">
        <f aca="false">SUM(G$34:G$54)</f>
        <v>0</v>
      </c>
      <c r="H185" s="261"/>
      <c r="I185" s="261"/>
      <c r="J185" s="276" t="s">
        <v>496</v>
      </c>
      <c r="K185" s="276"/>
      <c r="L185" s="276"/>
      <c r="M185" s="276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</row>
    <row r="186" customFormat="false" ht="24.75" hidden="false" customHeight="true" outlineLevel="0" collapsed="false">
      <c r="C186" s="265"/>
      <c r="D186" s="272" t="str">
        <f aca="false">$C$55</f>
        <v>ETAPA 03 - Armado de HTML/CSS + Servidor + BD</v>
      </c>
      <c r="E186" s="273" t="n">
        <f aca="false">SUM(E$56:E$71)</f>
        <v>50</v>
      </c>
      <c r="F186" s="274" t="n">
        <f aca="false">SUM(F$56:F$71)</f>
        <v>50</v>
      </c>
      <c r="G186" s="275" t="n">
        <f aca="false">SUM(G$56:G$71)</f>
        <v>0</v>
      </c>
      <c r="H186" s="261"/>
      <c r="I186" s="261"/>
      <c r="J186" s="277" t="s">
        <v>497</v>
      </c>
      <c r="K186" s="277"/>
      <c r="L186" s="277"/>
      <c r="M186" s="277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</row>
    <row r="187" customFormat="false" ht="24.75" hidden="false" customHeight="true" outlineLevel="0" collapsed="false">
      <c r="C187" s="265"/>
      <c r="D187" s="272" t="str">
        <f aca="false">$C$72</f>
        <v>ETAPA 04 - Integración Electrónica y Control Físico del Telar</v>
      </c>
      <c r="E187" s="273" t="n">
        <f aca="false">SUM(E$73:E$104)</f>
        <v>76</v>
      </c>
      <c r="F187" s="274" t="n">
        <f aca="false">SUM(F$73:F$104)</f>
        <v>55</v>
      </c>
      <c r="G187" s="275" t="n">
        <f aca="false">SUM(G$73:G$104)</f>
        <v>21</v>
      </c>
      <c r="H187" s="261"/>
      <c r="I187" s="261"/>
      <c r="J187" s="263"/>
      <c r="L187" s="261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</row>
    <row r="188" customFormat="false" ht="24.75" hidden="false" customHeight="true" outlineLevel="0" collapsed="false">
      <c r="C188" s="265"/>
      <c r="D188" s="272" t="str">
        <f aca="false">$C$105</f>
        <v>ETAPA 05 - Nivel 2: Dobby con bobinas de selección</v>
      </c>
      <c r="E188" s="273" t="n">
        <f aca="false">SUM(E$106:E$130)</f>
        <v>69</v>
      </c>
      <c r="F188" s="274" t="n">
        <f aca="false">SUM(F$106:F$130)</f>
        <v>23</v>
      </c>
      <c r="G188" s="275" t="n">
        <f aca="false">SUM(G$106:G$130)</f>
        <v>46</v>
      </c>
      <c r="H188" s="261"/>
      <c r="I188" s="261"/>
      <c r="J188" s="263"/>
      <c r="K188" s="257"/>
      <c r="L188" s="261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</row>
    <row r="189" customFormat="false" ht="24.75" hidden="false" customHeight="true" outlineLevel="0" collapsed="false">
      <c r="C189" s="265"/>
      <c r="D189" s="272" t="str">
        <f aca="false">$C$131</f>
        <v>ETAPA 06</v>
      </c>
      <c r="E189" s="273" t="n">
        <f aca="false">SUM(E$132:E$146)</f>
        <v>52</v>
      </c>
      <c r="F189" s="274" t="n">
        <f aca="false">SUM(F$132:F$146)</f>
        <v>25</v>
      </c>
      <c r="G189" s="275" t="n">
        <f aca="false">SUM(G$132:G$146)</f>
        <v>27</v>
      </c>
      <c r="H189" s="261"/>
      <c r="I189" s="261"/>
      <c r="J189" s="263"/>
      <c r="K189" s="257"/>
      <c r="L189" s="261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</row>
    <row r="190" customFormat="false" ht="24.75" hidden="false" customHeight="true" outlineLevel="0" collapsed="false">
      <c r="C190" s="265"/>
      <c r="D190" s="272" t="str">
        <f aca="false">$C$147</f>
        <v>ETAPA 07</v>
      </c>
      <c r="E190" s="273" t="n">
        <f aca="false">SUM($E$148:$E$162)</f>
        <v>53</v>
      </c>
      <c r="F190" s="274" t="n">
        <f aca="false">SUM(F$148:F$162)</f>
        <v>16</v>
      </c>
      <c r="G190" s="275" t="n">
        <f aca="false">SUM(G$148:G$162)</f>
        <v>37</v>
      </c>
      <c r="H190" s="261"/>
      <c r="I190" s="261"/>
      <c r="J190" s="263"/>
      <c r="K190" s="257"/>
      <c r="L190" s="261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</row>
    <row r="191" customFormat="false" ht="24.75" hidden="false" customHeight="true" outlineLevel="0" collapsed="false">
      <c r="C191" s="265"/>
      <c r="D191" s="272" t="str">
        <f aca="false">$C$163</f>
        <v>ETAPA 08</v>
      </c>
      <c r="E191" s="273" t="n">
        <f aca="false">SUM(E$164:E$178)</f>
        <v>39</v>
      </c>
      <c r="F191" s="274" t="n">
        <f aca="false">SUM(F$164:F$178)</f>
        <v>1</v>
      </c>
      <c r="G191" s="275" t="n">
        <f aca="false">SUM(G$164:G$178)</f>
        <v>38</v>
      </c>
      <c r="H191" s="261"/>
      <c r="I191" s="182"/>
      <c r="J191" s="263"/>
      <c r="K191" s="257"/>
      <c r="L191" s="261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</row>
  </sheetData>
  <mergeCells count="65">
    <mergeCell ref="N1:KG2"/>
    <mergeCell ref="L3:L7"/>
    <mergeCell ref="N8:AJ8"/>
    <mergeCell ref="AK8:BN8"/>
    <mergeCell ref="BO8:CS8"/>
    <mergeCell ref="CT8:ED8"/>
    <mergeCell ref="EE8:FI8"/>
    <mergeCell ref="FJ8:GN8"/>
    <mergeCell ref="GO8:HR8"/>
    <mergeCell ref="HS8:IW8"/>
    <mergeCell ref="IX8:KA8"/>
    <mergeCell ref="KB8:KG8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M10"/>
    <mergeCell ref="N9:T9"/>
    <mergeCell ref="U9:AA9"/>
    <mergeCell ref="AB9:AH9"/>
    <mergeCell ref="AI9:AO9"/>
    <mergeCell ref="AP9:AV9"/>
    <mergeCell ref="AW9:BC9"/>
    <mergeCell ref="BD9:BJ9"/>
    <mergeCell ref="BK9:BQ9"/>
    <mergeCell ref="BR9:BX9"/>
    <mergeCell ref="BY9:CE9"/>
    <mergeCell ref="CF9:CL9"/>
    <mergeCell ref="CM9:CS9"/>
    <mergeCell ref="CT9:CZ9"/>
    <mergeCell ref="DA9:DG9"/>
    <mergeCell ref="DH9:DN9"/>
    <mergeCell ref="DO9:EB9"/>
    <mergeCell ref="EC9:EI9"/>
    <mergeCell ref="EJ9:EP9"/>
    <mergeCell ref="EQ9:EW9"/>
    <mergeCell ref="EX9:FD9"/>
    <mergeCell ref="FE9:FK9"/>
    <mergeCell ref="FL9:FR9"/>
    <mergeCell ref="FS9:FY9"/>
    <mergeCell ref="FZ9:GF9"/>
    <mergeCell ref="GG9:GM9"/>
    <mergeCell ref="GN9:GT9"/>
    <mergeCell ref="GU9:HA9"/>
    <mergeCell ref="HB9:HH9"/>
    <mergeCell ref="HI9:HO9"/>
    <mergeCell ref="HP9:HV9"/>
    <mergeCell ref="HW9:IC9"/>
    <mergeCell ref="ID9:IJ9"/>
    <mergeCell ref="IK9:IQ9"/>
    <mergeCell ref="IR9:IX9"/>
    <mergeCell ref="IY9:JE9"/>
    <mergeCell ref="JF9:JL9"/>
    <mergeCell ref="JM9:JS9"/>
    <mergeCell ref="JT9:JZ9"/>
    <mergeCell ref="KA9:KG9"/>
    <mergeCell ref="J183:M183"/>
    <mergeCell ref="J184:M184"/>
    <mergeCell ref="J185:M185"/>
    <mergeCell ref="J186:M186"/>
  </mergeCells>
  <conditionalFormatting sqref="M12:M32 M34:M54 M56:M71 M73:M104 M106:M130 M132:M146 M148:M162 M164:M178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conditionalFormatting sqref="N12:KG32 N34:KG54 N56:KG71 N73:KG104 N106:KG130 N132:KG146 N148:KG162 N164:KG178">
    <cfRule type="expression" priority="3" aboveAverage="0" equalAverage="0" bottom="0" percent="0" rank="0" text="" dxfId="0">
      <formula>AND($J12&lt;&gt;"",$K12&lt;&gt;"",N$10&gt;=$J12,N$10&lt;$J12+ROUND(($K12-$J12+1)*$M12,0))</formula>
    </cfRule>
    <cfRule type="expression" priority="4" aboveAverage="0" equalAverage="0" bottom="0" percent="0" rank="0" text="" dxfId="1">
      <formula>AND($J12&lt;&gt;"",$K12&lt;&gt;"",$M12&lt;1,$K12&lt;TODAY(),N$10&gt;=$J12,N$10&lt;=$K12)</formula>
    </cfRule>
    <cfRule type="expression" priority="5" aboveAverage="0" equalAverage="0" bottom="0" percent="0" rank="0" text="" dxfId="2">
      <formula>AND($J12&lt;&gt;"",$K12&lt;&gt;"",N$10&gt;=$J12,N$10&lt;=$K12)</formula>
    </cfRule>
  </conditionalFormatting>
  <conditionalFormatting sqref="N3:KG7">
    <cfRule type="expression" priority="6" aboveAverage="0" equalAverage="0" bottom="0" percent="0" rank="0" text="" dxfId="3">
      <formula>AND(ROW()=3,SUMPRODUCT(($H$12:$H$240=1)*($J$12:$J$240&lt;=N$10)*($K$12:$K$240&gt;=N$10)*($J$12:$J$240&lt;&gt;""))&gt;0)</formula>
    </cfRule>
    <cfRule type="expression" priority="7" aboveAverage="0" equalAverage="0" bottom="0" percent="0" rank="0" text="" dxfId="4">
      <formula>AND(ROW()=4,SUMPRODUCT(($H$12:$H$240=2)*($J$12:$J$240&lt;=N$10)*($K$12:$K$240&gt;=N$10)*($J$12:$J$240&lt;&gt;""))&gt;0)</formula>
    </cfRule>
    <cfRule type="expression" priority="8" aboveAverage="0" equalAverage="0" bottom="0" percent="0" rank="0" text="" dxfId="5">
      <formula>AND(ROW()=5,SUMPRODUCT(($H$12:$H$240=3)*($J$12:$J$240&lt;=N$10)*($K$12:$K$240&gt;=N$10)*($J$12:$J$240&lt;&gt;""))&gt;0)</formula>
    </cfRule>
    <cfRule type="expression" priority="9" aboveAverage="0" equalAverage="0" bottom="0" percent="0" rank="0" text="" dxfId="6">
      <formula>AND(ROW()=6,SUMPRODUCT(($H$12:$H$240=4)*($J$12:$J$240&lt;=N$10)*($K$12:$K$240&gt;=N$10)*($J$12:$J$240&lt;&gt;""))&gt;0)</formula>
    </cfRule>
    <cfRule type="expression" priority="10" aboveAverage="0" equalAverage="0" bottom="0" percent="0" rank="0" text="" dxfId="7">
      <formula>AND(ROW()=7,SUMPRODUCT(($H$12:$H$240=5)*($J$12:$J$240&lt;=N$10)*($K$12:$K$240&gt;=N$10)*($J$12:$J$240&lt;&gt;""))&gt;0)</formula>
    </cfRule>
  </conditionalFormatting>
  <dataValidations count="1">
    <dataValidation allowBlank="true" errorStyle="stop" operator="between" prompt="Haz clic e introduce un valor del intervalo" showDropDown="false" showErrorMessage="true" showInputMessage="true" sqref="D12:D32 D34:D54 D56:D66 A65 D67:D71 D73:D104 D106:D130 D132:D146 D148:D162 D164:D178" type="list">
      <formula1>GANTT_Data_Referencias!$C$6:$C$16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4.22"/>
    <col collapsed="false" customWidth="true" hidden="false" outlineLevel="0" max="2" min="2" style="1" width="17.11"/>
    <col collapsed="false" customWidth="true" hidden="false" outlineLevel="0" max="3" min="3" style="1" width="6.22"/>
    <col collapsed="false" customWidth="true" hidden="false" outlineLevel="0" max="4" min="4" style="1" width="23.67"/>
    <col collapsed="false" customWidth="true" hidden="false" outlineLevel="0" max="5" min="5" style="1" width="11.89"/>
    <col collapsed="false" customWidth="true" hidden="false" outlineLevel="0" max="10" min="6" style="1" width="6.33"/>
    <col collapsed="false" customWidth="true" hidden="false" outlineLevel="0" max="11" min="11" style="1" width="4.44"/>
    <col collapsed="false" customWidth="true" hidden="false" outlineLevel="0" max="12" min="12" style="1" width="14.22"/>
    <col collapsed="false" customWidth="true" hidden="false" outlineLevel="0" max="18" min="13" style="1" width="6.78"/>
    <col collapsed="false" customWidth="true" hidden="false" outlineLevel="0" max="19" min="19" style="1" width="9.11"/>
    <col collapsed="false" customWidth="true" hidden="false" outlineLevel="0" max="20" min="20" style="1" width="6.78"/>
  </cols>
  <sheetData>
    <row r="1" customFormat="false" ht="15" hidden="false" customHeight="true" outlineLevel="0" collapsed="false">
      <c r="N1" s="278" t="s">
        <v>498</v>
      </c>
      <c r="O1" s="279" t="n">
        <v>1</v>
      </c>
      <c r="P1" s="279"/>
    </row>
    <row r="2" customFormat="false" ht="28.5" hidden="false" customHeight="true" outlineLevel="0" collapsed="false">
      <c r="B2" s="3" t="str">
        <f aca="false">GANTT!$C$1</f>
        <v>AUTOMATIZACIÓN DE TELAR INDUSTRIAL</v>
      </c>
      <c r="C2" s="3"/>
      <c r="E2" s="3"/>
    </row>
    <row r="3" customFormat="false" ht="28.5" hidden="false" customHeight="true" outlineLevel="0" collapsed="false">
      <c r="B3" s="3"/>
      <c r="C3" s="3"/>
      <c r="D3" s="3"/>
      <c r="E3" s="3"/>
      <c r="K3" s="280" t="s">
        <v>499</v>
      </c>
      <c r="L3" s="280"/>
      <c r="M3" s="280"/>
      <c r="N3" s="280"/>
      <c r="O3" s="280"/>
      <c r="P3" s="280"/>
      <c r="Q3" s="280"/>
      <c r="R3" s="280"/>
      <c r="S3" s="280"/>
      <c r="T3" s="280"/>
    </row>
    <row r="4" customFormat="false" ht="28.5" hidden="false" customHeight="true" outlineLevel="0" collapsed="false">
      <c r="A4" s="281" t="s">
        <v>500</v>
      </c>
      <c r="B4" s="281"/>
      <c r="C4" s="281"/>
      <c r="D4" s="281"/>
      <c r="E4" s="281"/>
      <c r="K4" s="282"/>
      <c r="L4" s="283" t="s">
        <v>501</v>
      </c>
      <c r="M4" s="284" t="s">
        <v>502</v>
      </c>
      <c r="N4" s="284"/>
      <c r="O4" s="284"/>
      <c r="P4" s="284"/>
      <c r="Q4" s="284"/>
      <c r="R4" s="284"/>
      <c r="S4" s="284"/>
      <c r="T4" s="284"/>
    </row>
    <row r="5" customFormat="false" ht="32.25" hidden="false" customHeight="true" outlineLevel="0" collapsed="false">
      <c r="A5" s="285"/>
      <c r="B5" s="286" t="s">
        <v>501</v>
      </c>
      <c r="C5" s="286" t="s">
        <v>503</v>
      </c>
      <c r="D5" s="286" t="s">
        <v>504</v>
      </c>
      <c r="E5" s="287" t="s">
        <v>505</v>
      </c>
      <c r="K5" s="282"/>
      <c r="L5" s="283"/>
      <c r="M5" s="283" t="s">
        <v>506</v>
      </c>
      <c r="N5" s="283" t="s">
        <v>507</v>
      </c>
      <c r="O5" s="283" t="s">
        <v>508</v>
      </c>
      <c r="P5" s="283" t="s">
        <v>509</v>
      </c>
      <c r="Q5" s="283" t="s">
        <v>510</v>
      </c>
      <c r="R5" s="283" t="s">
        <v>511</v>
      </c>
      <c r="S5" s="283" t="s">
        <v>512</v>
      </c>
      <c r="T5" s="288" t="s">
        <v>513</v>
      </c>
    </row>
    <row r="6" customFormat="false" ht="21" hidden="false" customHeight="true" outlineLevel="0" collapsed="false">
      <c r="A6" s="289" t="n">
        <v>1</v>
      </c>
      <c r="B6" s="290" t="s">
        <v>3</v>
      </c>
      <c r="C6" s="290" t="s">
        <v>73</v>
      </c>
      <c r="D6" s="291" t="s">
        <v>514</v>
      </c>
      <c r="E6" s="292" t="e">
        <f aca="false">SUM(M6:T6)</f>
        <v>#NAME?</v>
      </c>
      <c r="K6" s="293" t="n">
        <v>1</v>
      </c>
      <c r="L6" s="294" t="s">
        <v>73</v>
      </c>
      <c r="M6" s="294" t="e">
        <f aca="false" t="array" ref="M6: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N6" s="294" t="e">
        <f aca="false" t="array" ref="N6: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O6" s="294" t="e">
        <f aca="false" t="array" ref="O6: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P6" s="294" t="e">
        <f aca="false" t="array" ref="P6: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Q6" s="294" t="e">
        <f aca="false" t="array" ref="Q6: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R6" s="294" t="e">
        <f aca="false" t="array" ref="R6: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S6" s="294" t="e">
        <f aca="false" t="array" ref="S6: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T6" s="294" t="e">
        <f aca="false" t="array" ref="T6: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</row>
    <row r="7" customFormat="false" ht="21" hidden="false" customHeight="true" outlineLevel="0" collapsed="false">
      <c r="A7" s="289"/>
      <c r="B7" s="290"/>
      <c r="C7" s="294" t="s">
        <v>177</v>
      </c>
      <c r="D7" s="295" t="s">
        <v>515</v>
      </c>
      <c r="E7" s="296" t="e">
        <f aca="false">SUM(M7:T7)</f>
        <v>#NAME?</v>
      </c>
      <c r="K7" s="297" t="n">
        <v>2</v>
      </c>
      <c r="L7" s="294" t="s">
        <v>177</v>
      </c>
      <c r="M7" s="294" t="e">
        <f aca="false" t="array" ref="M7: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N7" s="294" t="e">
        <f aca="false" t="array" ref="N7: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O7" s="294" t="e">
        <f aca="false" t="array" ref="O7: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P7" s="294" t="e">
        <f aca="false" t="array" ref="P7: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Q7" s="294" t="e">
        <f aca="false" t="array" ref="Q7: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R7" s="294" t="e">
        <f aca="false" t="array" ref="R7: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S7" s="294" t="e">
        <f aca="false" t="array" ref="S7: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T7" s="294" t="e">
        <f aca="false" t="array" ref="T7: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</row>
    <row r="8" customFormat="false" ht="21" hidden="false" customHeight="true" outlineLevel="0" collapsed="false">
      <c r="A8" s="297" t="n">
        <v>2</v>
      </c>
      <c r="B8" s="294" t="s">
        <v>516</v>
      </c>
      <c r="C8" s="299" t="s">
        <v>517</v>
      </c>
      <c r="D8" s="294" t="s">
        <v>518</v>
      </c>
      <c r="E8" s="296" t="e">
        <f aca="false">SUM(M8:T8)</f>
        <v>#NAME?</v>
      </c>
      <c r="K8" s="293" t="n">
        <v>3</v>
      </c>
      <c r="L8" s="294" t="s">
        <v>517</v>
      </c>
      <c r="M8" s="294" t="e">
        <f aca="false" t="array" ref="M8: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N8" s="294" t="e">
        <f aca="false" t="array" ref="N8: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O8" s="294" t="e">
        <f aca="false" t="array" ref="O8: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P8" s="294" t="e">
        <f aca="false" t="array" ref="P8: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Q8" s="294" t="e">
        <f aca="false" t="array" ref="Q8: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R8" s="294" t="e">
        <f aca="false" t="array" ref="R8: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S8" s="294" t="e">
        <f aca="false" t="array" ref="S8: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T8" s="294" t="e">
        <f aca="false" t="array" ref="T8: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</row>
    <row r="9" customFormat="false" ht="21" hidden="false" customHeight="true" outlineLevel="0" collapsed="false">
      <c r="A9" s="297"/>
      <c r="B9" s="294"/>
      <c r="C9" s="299" t="s">
        <v>181</v>
      </c>
      <c r="D9" s="294" t="s">
        <v>519</v>
      </c>
      <c r="E9" s="296" t="e">
        <f aca="false">SUM(M9:T9)</f>
        <v>#NAME?</v>
      </c>
      <c r="K9" s="297" t="n">
        <v>4</v>
      </c>
      <c r="L9" s="294" t="s">
        <v>181</v>
      </c>
      <c r="M9" s="294" t="e">
        <f aca="false" t="array" ref="M9: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N9" s="294" t="e">
        <f aca="false" t="array" ref="N9: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O9" s="294" t="e">
        <f aca="false" t="array" ref="O9: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P9" s="294" t="e">
        <f aca="false" t="array" ref="P9: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Q9" s="294" t="e">
        <f aca="false" t="array" ref="Q9: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R9" s="294" t="e">
        <f aca="false" t="array" ref="R9: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S9" s="294" t="e">
        <f aca="false" t="array" ref="S9: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T9" s="294" t="e">
        <f aca="false" t="array" ref="T9: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</row>
    <row r="10" customFormat="false" ht="21" hidden="false" customHeight="true" outlineLevel="0" collapsed="false">
      <c r="A10" s="293" t="n">
        <v>4</v>
      </c>
      <c r="B10" s="294" t="s">
        <v>520</v>
      </c>
      <c r="C10" s="299" t="s">
        <v>521</v>
      </c>
      <c r="D10" s="294" t="s">
        <v>522</v>
      </c>
      <c r="E10" s="296" t="e">
        <f aca="false">SUM(M10:T10)</f>
        <v>#NAME?</v>
      </c>
      <c r="K10" s="293" t="n">
        <v>5</v>
      </c>
      <c r="L10" s="294" t="s">
        <v>521</v>
      </c>
      <c r="M10" s="294" t="e">
        <f aca="false" t="array" ref="M10: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N10" s="294" t="e">
        <f aca="false" t="array" ref="N10: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O10" s="294" t="e">
        <f aca="false" t="array" ref="O10: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P10" s="294" t="e">
        <f aca="false" t="array" ref="P10: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Q10" s="294" t="e">
        <f aca="false" t="array" ref="Q10: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R10" s="294" t="e">
        <f aca="false" t="array" ref="R10: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S10" s="294" t="e">
        <f aca="false" t="array" ref="S10: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T10" s="294" t="e">
        <f aca="false" t="array" ref="T10: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</row>
    <row r="11" customFormat="false" ht="21" hidden="false" customHeight="true" outlineLevel="0" collapsed="false">
      <c r="A11" s="293" t="n">
        <v>5</v>
      </c>
      <c r="B11" s="294"/>
      <c r="C11" s="294" t="s">
        <v>130</v>
      </c>
      <c r="D11" s="294" t="s">
        <v>523</v>
      </c>
      <c r="E11" s="296" t="e">
        <f aca="false">SUM(M11:T11)</f>
        <v>#NAME?</v>
      </c>
      <c r="K11" s="293" t="n">
        <v>6</v>
      </c>
      <c r="L11" s="294" t="s">
        <v>130</v>
      </c>
      <c r="M11" s="294" t="e">
        <f aca="false" t="array" ref="M11: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N11" s="294" t="e">
        <f aca="false" t="array" ref="N11: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O11" s="294" t="e">
        <f aca="false" t="array" ref="O11: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P11" s="294" t="e">
        <f aca="false" t="array" ref="P11: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Q11" s="294" t="e">
        <f aca="false" t="array" ref="Q11: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R11" s="294" t="e">
        <f aca="false" t="array" ref="R11: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S11" s="294" t="e">
        <f aca="false" t="array" ref="S11: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T11" s="294" t="e">
        <f aca="false" t="array" ref="T11: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</row>
    <row r="12" customFormat="false" ht="21" hidden="false" customHeight="true" outlineLevel="0" collapsed="false">
      <c r="A12" s="293" t="n">
        <v>6</v>
      </c>
      <c r="B12" s="300" t="s">
        <v>524</v>
      </c>
      <c r="C12" s="300" t="s">
        <v>525</v>
      </c>
      <c r="D12" s="295" t="s">
        <v>526</v>
      </c>
      <c r="E12" s="296" t="e">
        <f aca="false">SUM(M12:T12)</f>
        <v>#NAME?</v>
      </c>
      <c r="F12" s="301" t="s">
        <v>527</v>
      </c>
      <c r="G12" s="301"/>
      <c r="H12" s="301"/>
      <c r="I12" s="301"/>
      <c r="K12" s="297" t="n">
        <v>7</v>
      </c>
      <c r="L12" s="300" t="s">
        <v>525</v>
      </c>
      <c r="M12" s="294" t="e">
        <f aca="false" t="array" ref="M12: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N12" s="294" t="e">
        <f aca="false" t="array" ref="N12: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O12" s="294" t="e">
        <f aca="false" t="array" ref="O12: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P12" s="294" t="e">
        <f aca="false" t="array" ref="P12: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Q12" s="294" t="e">
        <f aca="false" t="array" ref="Q12: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R12" s="294" t="e">
        <f aca="false" t="array" ref="R12: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S12" s="294" t="e">
        <f aca="false" t="array" ref="S12: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T12" s="294" t="e">
        <f aca="false" t="array" ref="T12: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</row>
    <row r="13" customFormat="false" ht="21" hidden="false" customHeight="true" outlineLevel="0" collapsed="false">
      <c r="A13" s="297" t="n">
        <v>7</v>
      </c>
      <c r="B13" s="302" t="s">
        <v>528</v>
      </c>
      <c r="C13" s="303" t="s">
        <v>529</v>
      </c>
      <c r="D13" s="295" t="s">
        <v>530</v>
      </c>
      <c r="E13" s="296" t="e">
        <f aca="false">SUM(M13:T13)</f>
        <v>#NAME?</v>
      </c>
      <c r="F13" s="301"/>
      <c r="G13" s="301"/>
      <c r="H13" s="301"/>
      <c r="I13" s="301"/>
      <c r="K13" s="293" t="n">
        <v>8</v>
      </c>
      <c r="L13" s="300" t="s">
        <v>529</v>
      </c>
      <c r="M13" s="294" t="e">
        <f aca="false" t="array" ref="M13: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N13" s="294" t="e">
        <f aca="false" t="array" ref="N13: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O13" s="294" t="e">
        <f aca="false" t="array" ref="O13: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P13" s="294" t="e">
        <f aca="false" t="array" ref="P13: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Q13" s="294" t="e">
        <f aca="false" t="array" ref="Q13: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R13" s="294" t="e">
        <f aca="false" t="array" ref="R13: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S13" s="294" t="e">
        <f aca="false" t="array" ref="S13: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T13" s="294" t="e">
        <f aca="false" t="array" ref="T13: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</row>
    <row r="14" customFormat="false" ht="21" hidden="false" customHeight="true" outlineLevel="0" collapsed="false">
      <c r="A14" s="297" t="n">
        <v>8</v>
      </c>
      <c r="B14" s="302" t="s">
        <v>531</v>
      </c>
      <c r="C14" s="303" t="s">
        <v>401</v>
      </c>
      <c r="D14" s="304" t="s">
        <v>532</v>
      </c>
      <c r="E14" s="296" t="e">
        <f aca="false">SUM(M14:T14)</f>
        <v>#NAME?</v>
      </c>
      <c r="F14" s="301"/>
      <c r="G14" s="301"/>
      <c r="H14" s="301"/>
      <c r="I14" s="301"/>
      <c r="K14" s="297" t="n">
        <v>9</v>
      </c>
      <c r="L14" s="300" t="s">
        <v>401</v>
      </c>
      <c r="M14" s="294" t="e">
        <f aca="false" t="array" ref="M14: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N14" s="294" t="e">
        <f aca="false" t="array" ref="N14: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O14" s="294" t="e">
        <f aca="false" t="array" ref="O14: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P14" s="294" t="e">
        <f aca="false" t="array" ref="P14: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Q14" s="294" t="e">
        <f aca="false" t="array" ref="Q14: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R14" s="294" t="e">
        <f aca="false" t="array" ref="R14: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S14" s="294" t="e">
        <f aca="false" t="array" ref="S14: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T14" s="294" t="e">
        <f aca="false" t="array" ref="T14: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</row>
    <row r="15" customFormat="false" ht="21" hidden="false" customHeight="true" outlineLevel="0" collapsed="false">
      <c r="A15" s="297" t="n">
        <v>9</v>
      </c>
      <c r="B15" s="302" t="s">
        <v>533</v>
      </c>
      <c r="C15" s="303" t="s">
        <v>534</v>
      </c>
      <c r="D15" s="305" t="s">
        <v>535</v>
      </c>
      <c r="E15" s="296" t="e">
        <f aca="false">SUM(M15:T15)</f>
        <v>#NAME?</v>
      </c>
      <c r="F15" s="301"/>
      <c r="G15" s="301"/>
      <c r="H15" s="301"/>
      <c r="I15" s="301"/>
      <c r="K15" s="293" t="n">
        <v>10</v>
      </c>
      <c r="L15" s="300" t="s">
        <v>534</v>
      </c>
      <c r="M15" s="294" t="e">
        <f aca="false" t="array" ref="M15: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N15" s="294" t="e">
        <f aca="false" t="array" ref="N15: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O15" s="294" t="e">
        <f aca="false" t="array" ref="O15: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P15" s="294" t="e">
        <f aca="false" t="array" ref="P15: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Q15" s="294" t="e">
        <f aca="false" t="array" ref="Q15: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R15" s="294" t="e">
        <f aca="false" t="array" ref="R15: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S15" s="294" t="e">
        <f aca="false" t="array" ref="S15: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T15" s="294" t="e">
        <f aca="false" t="array" ref="T15: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8"/>
      <c r="AF15" s="298"/>
      <c r="AG15" s="298"/>
      <c r="AH15" s="298"/>
      <c r="AI15" s="298"/>
      <c r="AJ15" s="298"/>
      <c r="AK15" s="298"/>
      <c r="AL15" s="298"/>
    </row>
    <row r="16" customFormat="false" ht="21" hidden="false" customHeight="true" outlineLevel="0" collapsed="false">
      <c r="A16" s="306" t="n">
        <v>10</v>
      </c>
      <c r="B16" s="307"/>
      <c r="C16" s="308"/>
      <c r="D16" s="309"/>
      <c r="E16" s="310" t="e">
        <f aca="false">SUM(M16:T16)</f>
        <v>#NAME?</v>
      </c>
      <c r="F16" s="301"/>
      <c r="G16" s="301"/>
      <c r="H16" s="301"/>
      <c r="I16" s="301"/>
      <c r="K16" s="306"/>
      <c r="L16" s="308"/>
      <c r="M16" s="294" t="e">
        <f aca="false" t="array" ref="M16: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N16" s="294" t="e">
        <f aca="false" t="array" ref="N16: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O16" s="294" t="e">
        <f aca="false" t="array" ref="O16: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P16" s="294" t="e">
        <f aca="false" t="array" ref="P16: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Q16" s="294" t="e">
        <f aca="false" t="array" ref="Q16: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R16" s="294" t="e">
        <f aca="false" t="array" ref="R16: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S16" s="294" t="e">
        <f aca="false" t="array" ref="S16: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T16" s="294" t="e">
        <f aca="false" t="array" ref="T16: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</row>
    <row r="17" customFormat="false" ht="21" hidden="false" customHeight="true" outlineLevel="0" collapsed="false">
      <c r="K17" s="311"/>
      <c r="L17" s="312" t="s">
        <v>536</v>
      </c>
      <c r="M17" s="313" t="e">
        <f aca="false">SUM(M6:M16)</f>
        <v>#NAME?</v>
      </c>
      <c r="N17" s="313" t="e">
        <f aca="false">SUM(N6:N16)</f>
        <v>#NAME?</v>
      </c>
      <c r="O17" s="313" t="e">
        <f aca="false">SUM(O6:O16)</f>
        <v>#NAME?</v>
      </c>
      <c r="P17" s="313" t="e">
        <f aca="false">SUM(P6:P16)</f>
        <v>#NAME?</v>
      </c>
      <c r="Q17" s="313" t="e">
        <f aca="false">SUM(Q6:Q16)</f>
        <v>#NAME?</v>
      </c>
      <c r="R17" s="313" t="e">
        <f aca="false">SUM(R6:R16)</f>
        <v>#NAME?</v>
      </c>
      <c r="S17" s="313" t="e">
        <f aca="false">SUM(S6:S16)</f>
        <v>#NAME?</v>
      </c>
      <c r="T17" s="314" t="e">
        <f aca="false">SUM(T6:T16)</f>
        <v>#NAME?</v>
      </c>
    </row>
    <row r="18" customFormat="false" ht="28.5" hidden="false" customHeight="true" outlineLevel="0" collapsed="false"/>
    <row r="19" customFormat="false" ht="15" hidden="false" customHeight="true" outlineLevel="0" collapsed="false">
      <c r="L19" s="7"/>
    </row>
    <row r="20" customFormat="false" ht="28.5" hidden="false" customHeight="true" outlineLevel="0" collapsed="false">
      <c r="C20" s="315" t="s">
        <v>503</v>
      </c>
      <c r="D20" s="316" t="s">
        <v>537</v>
      </c>
      <c r="E20" s="317" t="s">
        <v>538</v>
      </c>
    </row>
    <row r="21" customFormat="false" ht="21" hidden="false" customHeight="true" outlineLevel="0" collapsed="false">
      <c r="A21" s="301" t="s">
        <v>539</v>
      </c>
      <c r="B21" s="301"/>
      <c r="C21" s="318" t="s">
        <v>73</v>
      </c>
      <c r="D21" s="290" t="s">
        <v>514</v>
      </c>
      <c r="E21" s="319" t="n">
        <f aca="false">30*$O$1</f>
        <v>30</v>
      </c>
    </row>
    <row r="22" customFormat="false" ht="21" hidden="false" customHeight="true" outlineLevel="0" collapsed="false">
      <c r="A22" s="301"/>
      <c r="B22" s="301"/>
      <c r="C22" s="299" t="s">
        <v>540</v>
      </c>
      <c r="D22" s="294" t="s">
        <v>541</v>
      </c>
      <c r="E22" s="320" t="n">
        <f aca="false">34*$O$1</f>
        <v>34</v>
      </c>
    </row>
    <row r="23" customFormat="false" ht="21" hidden="false" customHeight="true" outlineLevel="0" collapsed="false">
      <c r="A23" s="301"/>
      <c r="B23" s="301"/>
      <c r="C23" s="299" t="s">
        <v>130</v>
      </c>
      <c r="D23" s="294" t="s">
        <v>523</v>
      </c>
      <c r="E23" s="320" t="n">
        <f aca="false">27*$O$1</f>
        <v>27</v>
      </c>
    </row>
    <row r="24" customFormat="false" ht="21" hidden="false" customHeight="true" outlineLevel="0" collapsed="false">
      <c r="A24" s="301"/>
      <c r="B24" s="301"/>
      <c r="C24" s="299" t="s">
        <v>542</v>
      </c>
      <c r="D24" s="294" t="s">
        <v>543</v>
      </c>
      <c r="E24" s="320" t="n">
        <f aca="false">32*$O$1</f>
        <v>32</v>
      </c>
    </row>
    <row r="25" customFormat="false" ht="21" hidden="false" customHeight="true" outlineLevel="0" collapsed="false">
      <c r="A25" s="301"/>
      <c r="B25" s="301"/>
      <c r="C25" s="299" t="s">
        <v>529</v>
      </c>
      <c r="D25" s="294" t="s">
        <v>530</v>
      </c>
      <c r="E25" s="320" t="n">
        <f aca="false">32*$O$1</f>
        <v>32</v>
      </c>
    </row>
    <row r="26" customFormat="false" ht="21" hidden="false" customHeight="true" outlineLevel="0" collapsed="false">
      <c r="A26" s="301"/>
      <c r="B26" s="301"/>
      <c r="C26" s="299" t="s">
        <v>181</v>
      </c>
      <c r="D26" s="294" t="s">
        <v>519</v>
      </c>
      <c r="E26" s="320" t="n">
        <f aca="false">32*$O$1</f>
        <v>32</v>
      </c>
    </row>
    <row r="27" customFormat="false" ht="21" hidden="false" customHeight="true" outlineLevel="0" collapsed="false">
      <c r="C27" s="321" t="s">
        <v>544</v>
      </c>
      <c r="D27" s="322" t="s">
        <v>545</v>
      </c>
      <c r="E27" s="323" t="n">
        <f aca="false">32*$O$1</f>
        <v>32</v>
      </c>
      <c r="G27" s="7"/>
    </row>
    <row r="28" customFormat="false" ht="21" hidden="false" customHeight="true" outlineLevel="0" collapsed="false">
      <c r="C28" s="324" t="s">
        <v>546</v>
      </c>
      <c r="D28" s="300" t="s">
        <v>547</v>
      </c>
      <c r="E28" s="325"/>
      <c r="F28" s="301" t="s">
        <v>548</v>
      </c>
      <c r="G28" s="301"/>
      <c r="H28" s="301"/>
      <c r="I28" s="301"/>
      <c r="J28" s="301"/>
    </row>
    <row r="29" customFormat="false" ht="21" hidden="false" customHeight="true" outlineLevel="0" collapsed="false">
      <c r="C29" s="326" t="s">
        <v>549</v>
      </c>
      <c r="D29" s="303" t="s">
        <v>550</v>
      </c>
      <c r="E29" s="327"/>
      <c r="F29" s="301"/>
      <c r="G29" s="301"/>
      <c r="H29" s="301"/>
      <c r="I29" s="301"/>
      <c r="J29" s="301"/>
    </row>
    <row r="30" customFormat="false" ht="21" hidden="false" customHeight="true" outlineLevel="0" collapsed="false">
      <c r="C30" s="326" t="s">
        <v>534</v>
      </c>
      <c r="D30" s="303" t="s">
        <v>535</v>
      </c>
      <c r="E30" s="327"/>
      <c r="F30" s="301"/>
      <c r="G30" s="301"/>
      <c r="H30" s="301"/>
      <c r="I30" s="301"/>
      <c r="J30" s="301"/>
    </row>
    <row r="31" customFormat="false" ht="21" hidden="false" customHeight="true" outlineLevel="0" collapsed="false">
      <c r="C31" s="328" t="s">
        <v>401</v>
      </c>
      <c r="D31" s="309" t="s">
        <v>532</v>
      </c>
      <c r="E31" s="310"/>
      <c r="F31" s="301"/>
      <c r="G31" s="301"/>
      <c r="H31" s="301"/>
      <c r="I31" s="301"/>
      <c r="J31" s="301"/>
    </row>
  </sheetData>
  <mergeCells count="14">
    <mergeCell ref="O1:P1"/>
    <mergeCell ref="K3:T3"/>
    <mergeCell ref="A4:E4"/>
    <mergeCell ref="K4:K5"/>
    <mergeCell ref="L4:L5"/>
    <mergeCell ref="M4:T4"/>
    <mergeCell ref="A6:A7"/>
    <mergeCell ref="B6:B7"/>
    <mergeCell ref="A8:A9"/>
    <mergeCell ref="B8:B9"/>
    <mergeCell ref="B10:B11"/>
    <mergeCell ref="F12:I16"/>
    <mergeCell ref="A21:B26"/>
    <mergeCell ref="F28:J3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6" min="1" style="1" width="5"/>
    <col collapsed="false" customWidth="true" hidden="false" outlineLevel="0" max="7" min="7" style="1" width="5.67"/>
    <col collapsed="false" customWidth="true" hidden="false" outlineLevel="0" max="11" min="8" style="1" width="5"/>
    <col collapsed="false" customWidth="true" hidden="false" outlineLevel="0" max="12" min="12" style="1" width="5.89"/>
    <col collapsed="false" customWidth="true" hidden="false" outlineLevel="0" max="30" min="13" style="1" width="5"/>
  </cols>
  <sheetData>
    <row r="1" customFormat="false" ht="15" hidden="false" customHeight="true" outlineLevel="0" collapsed="false">
      <c r="A1" s="329"/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</row>
    <row r="2" customFormat="false" ht="43.5" hidden="false" customHeight="true" outlineLevel="0" collapsed="false">
      <c r="A2" s="329"/>
      <c r="B2" s="330" t="s">
        <v>551</v>
      </c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1" t="str">
        <f aca="false">GANTT!$C$1</f>
        <v>AUTOMATIZACIÓN DE TELAR INDUSTRIAL</v>
      </c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2"/>
    </row>
    <row r="3" customFormat="false" ht="15" hidden="false" customHeight="true" outlineLevel="0" collapsed="false">
      <c r="A3" s="329"/>
      <c r="B3" s="333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4"/>
    </row>
    <row r="4" customFormat="false" ht="15" hidden="false" customHeight="true" outlineLevel="0" collapsed="false">
      <c r="A4" s="329"/>
      <c r="B4" s="333"/>
      <c r="C4" s="329"/>
      <c r="D4" s="329"/>
      <c r="E4" s="335" t="s">
        <v>552</v>
      </c>
      <c r="F4" s="335"/>
      <c r="G4" s="335"/>
      <c r="H4" s="329"/>
      <c r="I4" s="336" t="s">
        <v>553</v>
      </c>
      <c r="J4" s="336"/>
      <c r="K4" s="336"/>
      <c r="L4" s="336"/>
      <c r="M4" s="336"/>
      <c r="N4" s="336"/>
      <c r="O4" s="329"/>
      <c r="P4" s="329"/>
      <c r="Q4" s="335"/>
      <c r="R4" s="335"/>
      <c r="S4" s="335"/>
      <c r="U4" s="337"/>
      <c r="V4" s="337"/>
      <c r="W4" s="337"/>
      <c r="X4" s="337"/>
      <c r="Y4" s="337"/>
      <c r="Z4" s="337"/>
      <c r="AA4" s="329"/>
      <c r="AB4" s="329"/>
      <c r="AC4" s="334"/>
    </row>
    <row r="5" customFormat="false" ht="15" hidden="false" customHeight="true" outlineLevel="0" collapsed="false">
      <c r="A5" s="329"/>
      <c r="B5" s="333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29"/>
      <c r="AC5" s="334"/>
    </row>
    <row r="6" customFormat="false" ht="15" hidden="false" customHeight="true" outlineLevel="0" collapsed="false">
      <c r="A6" s="329"/>
      <c r="B6" s="333"/>
      <c r="C6" s="329"/>
      <c r="D6" s="329"/>
      <c r="E6" s="335" t="s">
        <v>554</v>
      </c>
      <c r="F6" s="335"/>
      <c r="G6" s="335"/>
      <c r="H6" s="329"/>
      <c r="I6" s="338" t="n">
        <f aca="false">GANTT!$D$5</f>
        <v>46097</v>
      </c>
      <c r="J6" s="338"/>
      <c r="K6" s="338"/>
      <c r="L6" s="338"/>
      <c r="M6" s="338"/>
      <c r="N6" s="338"/>
      <c r="O6" s="329"/>
      <c r="P6" s="329"/>
      <c r="Q6" s="335" t="s">
        <v>555</v>
      </c>
      <c r="R6" s="335"/>
      <c r="S6" s="335"/>
      <c r="T6" s="329"/>
      <c r="U6" s="338" t="n">
        <f aca="false">GANTT!$D$6</f>
        <v>46340</v>
      </c>
      <c r="V6" s="338"/>
      <c r="W6" s="338"/>
      <c r="X6" s="338"/>
      <c r="Y6" s="338"/>
      <c r="Z6" s="338"/>
      <c r="AA6" s="329"/>
      <c r="AB6" s="329"/>
      <c r="AC6" s="334"/>
    </row>
    <row r="7" customFormat="false" ht="15" hidden="false" customHeight="true" outlineLevel="0" collapsed="false">
      <c r="A7" s="329"/>
      <c r="B7" s="333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AA7" s="329"/>
      <c r="AB7" s="329"/>
      <c r="AC7" s="334"/>
    </row>
    <row r="8" customFormat="false" ht="17.25" hidden="false" customHeight="true" outlineLevel="0" collapsed="false">
      <c r="A8" s="329"/>
      <c r="B8" s="333"/>
      <c r="C8" s="329"/>
      <c r="D8" s="329"/>
      <c r="O8" s="329"/>
      <c r="P8" s="329"/>
      <c r="Q8" s="339" t="s">
        <v>556</v>
      </c>
      <c r="R8" s="339"/>
      <c r="S8" s="339"/>
      <c r="T8" s="339"/>
      <c r="U8" s="340" t="e">
        <f aca="false">(Z37+(Z37*U10))</f>
        <v>#NAME?</v>
      </c>
      <c r="V8" s="340"/>
      <c r="W8" s="340"/>
      <c r="X8" s="340"/>
      <c r="Y8" s="341"/>
      <c r="Z8" s="341"/>
      <c r="AA8" s="329"/>
      <c r="AB8" s="329"/>
      <c r="AC8" s="334"/>
    </row>
    <row r="9" customFormat="false" ht="17.25" hidden="false" customHeight="true" outlineLevel="0" collapsed="false">
      <c r="A9" s="329"/>
      <c r="B9" s="333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39" t="s">
        <v>557</v>
      </c>
      <c r="R9" s="339"/>
      <c r="S9" s="339"/>
      <c r="T9" s="339"/>
      <c r="U9" s="342" t="e">
        <f aca="false">$J$26</f>
        <v>#NAME?</v>
      </c>
      <c r="V9" s="342"/>
      <c r="W9" s="342"/>
      <c r="X9" s="343" t="s">
        <v>558</v>
      </c>
      <c r="Y9" s="343"/>
      <c r="Z9" s="343"/>
      <c r="AA9" s="329"/>
      <c r="AB9" s="329"/>
      <c r="AC9" s="334"/>
    </row>
    <row r="10" customFormat="false" ht="17.25" hidden="false" customHeight="true" outlineLevel="0" collapsed="false">
      <c r="A10" s="329"/>
      <c r="B10" s="333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29"/>
      <c r="O10" s="329"/>
      <c r="P10" s="329"/>
      <c r="Q10" s="339" t="s">
        <v>559</v>
      </c>
      <c r="R10" s="339"/>
      <c r="S10" s="339"/>
      <c r="T10" s="339"/>
      <c r="U10" s="344" t="n">
        <v>0.25</v>
      </c>
      <c r="V10" s="344"/>
      <c r="W10" s="344"/>
      <c r="X10" s="343" t="s">
        <v>560</v>
      </c>
      <c r="Y10" s="343"/>
      <c r="Z10" s="343"/>
      <c r="AA10" s="329"/>
      <c r="AB10" s="329"/>
      <c r="AC10" s="334"/>
    </row>
    <row r="11" customFormat="false" ht="15" hidden="false" customHeight="true" outlineLevel="0" collapsed="false">
      <c r="A11" s="329"/>
      <c r="B11" s="333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29"/>
      <c r="AC11" s="334"/>
    </row>
    <row r="12" customFormat="false" ht="27.75" hidden="false" customHeight="true" outlineLevel="0" collapsed="false">
      <c r="A12" s="345"/>
      <c r="B12" s="346"/>
      <c r="C12" s="347" t="s">
        <v>561</v>
      </c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8"/>
      <c r="AD12" s="9"/>
    </row>
    <row r="13" customFormat="false" ht="15" hidden="false" customHeight="true" outlineLevel="0" collapsed="false">
      <c r="A13" s="329"/>
      <c r="B13" s="333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29"/>
      <c r="AC13" s="334"/>
    </row>
    <row r="14" customFormat="false" ht="15" hidden="false" customHeight="true" outlineLevel="0" collapsed="false">
      <c r="A14" s="329"/>
      <c r="B14" s="333"/>
      <c r="C14" s="349" t="s">
        <v>562</v>
      </c>
      <c r="D14" s="335" t="s">
        <v>563</v>
      </c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5"/>
      <c r="AC14" s="334"/>
    </row>
    <row r="15" customFormat="false" ht="15" hidden="false" customHeight="true" outlineLevel="0" collapsed="false">
      <c r="A15" s="329"/>
      <c r="B15" s="333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34"/>
    </row>
    <row r="16" customFormat="false" ht="15" hidden="false" customHeight="true" outlineLevel="0" collapsed="false">
      <c r="A16" s="329"/>
      <c r="B16" s="333"/>
      <c r="C16" s="329"/>
      <c r="D16" s="335" t="s">
        <v>564</v>
      </c>
      <c r="E16" s="335"/>
      <c r="F16" s="335"/>
      <c r="G16" s="335"/>
      <c r="H16" s="329"/>
      <c r="I16" s="329"/>
      <c r="J16" s="350" t="s">
        <v>565</v>
      </c>
      <c r="K16" s="350"/>
      <c r="L16" s="350"/>
      <c r="M16" s="329"/>
      <c r="N16" s="350" t="s">
        <v>566</v>
      </c>
      <c r="O16" s="350"/>
      <c r="P16" s="350"/>
      <c r="Q16" s="329"/>
      <c r="R16" s="350" t="s">
        <v>567</v>
      </c>
      <c r="S16" s="350"/>
      <c r="T16" s="350"/>
      <c r="U16" s="329"/>
      <c r="V16" s="350" t="s">
        <v>568</v>
      </c>
      <c r="W16" s="350"/>
      <c r="X16" s="350"/>
      <c r="Y16" s="329"/>
      <c r="Z16" s="350" t="s">
        <v>569</v>
      </c>
      <c r="AA16" s="350"/>
      <c r="AB16" s="350"/>
      <c r="AC16" s="334"/>
    </row>
    <row r="17" customFormat="false" ht="15" hidden="false" customHeight="true" outlineLevel="0" collapsed="false">
      <c r="A17" s="329"/>
      <c r="B17" s="333"/>
      <c r="C17" s="329"/>
      <c r="D17" s="337" t="s">
        <v>514</v>
      </c>
      <c r="E17" s="337"/>
      <c r="F17" s="337"/>
      <c r="G17" s="337"/>
      <c r="H17" s="337"/>
      <c r="I17" s="329"/>
      <c r="J17" s="351" t="e">
        <f aca="false">GANTT_Data_Referencias!$E$6</f>
        <v>#NAME?</v>
      </c>
      <c r="K17" s="351"/>
      <c r="L17" s="351"/>
      <c r="M17" s="329"/>
      <c r="N17" s="352" t="n">
        <f aca="false">GANTT_Data_Referencias!$E$21</f>
        <v>30</v>
      </c>
      <c r="O17" s="352"/>
      <c r="P17" s="352"/>
      <c r="Q17" s="329"/>
      <c r="R17" s="351" t="n">
        <v>1</v>
      </c>
      <c r="S17" s="351"/>
      <c r="T17" s="351"/>
      <c r="U17" s="329"/>
      <c r="V17" s="353" t="n">
        <v>0.05</v>
      </c>
      <c r="W17" s="353"/>
      <c r="X17" s="353"/>
      <c r="Y17" s="329"/>
      <c r="Z17" s="352" t="e">
        <f aca="false">((J17*N17)*R17)*V17+((J17*N17)*R17)</f>
        <v>#NAME?</v>
      </c>
      <c r="AA17" s="352"/>
      <c r="AB17" s="352"/>
      <c r="AC17" s="334"/>
    </row>
    <row r="18" customFormat="false" ht="15" hidden="false" customHeight="true" outlineLevel="0" collapsed="false">
      <c r="A18" s="329"/>
      <c r="B18" s="333"/>
      <c r="C18" s="329"/>
      <c r="D18" s="337" t="s">
        <v>519</v>
      </c>
      <c r="E18" s="337"/>
      <c r="F18" s="337"/>
      <c r="G18" s="337"/>
      <c r="H18" s="337"/>
      <c r="I18" s="329"/>
      <c r="J18" s="351" t="e">
        <f aca="false">GANTT_Data_Referencias!$E$7</f>
        <v>#NAME?</v>
      </c>
      <c r="K18" s="351"/>
      <c r="L18" s="351"/>
      <c r="M18" s="329"/>
      <c r="N18" s="352" t="n">
        <f aca="false">GANTT_Data_Referencias!E$22</f>
        <v>34</v>
      </c>
      <c r="O18" s="352"/>
      <c r="P18" s="352"/>
      <c r="Q18" s="329"/>
      <c r="R18" s="351" t="n">
        <v>1</v>
      </c>
      <c r="S18" s="351"/>
      <c r="T18" s="351"/>
      <c r="U18" s="329"/>
      <c r="V18" s="353" t="n">
        <v>0.05</v>
      </c>
      <c r="W18" s="353"/>
      <c r="X18" s="353"/>
      <c r="Y18" s="329"/>
      <c r="Z18" s="352" t="e">
        <f aca="false">((J18*N18)*R18)*V18+((J18*N18)*R18)</f>
        <v>#NAME?</v>
      </c>
      <c r="AA18" s="352"/>
      <c r="AB18" s="352"/>
      <c r="AC18" s="334"/>
    </row>
    <row r="19" customFormat="false" ht="15" hidden="false" customHeight="true" outlineLevel="0" collapsed="false">
      <c r="A19" s="329"/>
      <c r="B19" s="333"/>
      <c r="C19" s="329"/>
      <c r="D19" s="337" t="s">
        <v>515</v>
      </c>
      <c r="E19" s="337"/>
      <c r="F19" s="337"/>
      <c r="G19" s="337"/>
      <c r="H19" s="337"/>
      <c r="I19" s="329"/>
      <c r="J19" s="351" t="e">
        <f aca="false">GANTT_Data_Referencias!$E$8</f>
        <v>#NAME?</v>
      </c>
      <c r="K19" s="351"/>
      <c r="L19" s="351"/>
      <c r="M19" s="329"/>
      <c r="N19" s="352" t="n">
        <f aca="false">GANTT_Data_Referencias!E$22</f>
        <v>34</v>
      </c>
      <c r="O19" s="352"/>
      <c r="P19" s="352"/>
      <c r="Q19" s="329"/>
      <c r="R19" s="351" t="n">
        <v>1</v>
      </c>
      <c r="S19" s="351"/>
      <c r="T19" s="351"/>
      <c r="U19" s="329"/>
      <c r="V19" s="353" t="n">
        <v>0.05</v>
      </c>
      <c r="W19" s="353"/>
      <c r="X19" s="353"/>
      <c r="Y19" s="329"/>
      <c r="Z19" s="352" t="e">
        <f aca="false">((J19*N19)*R19)*V19+((J19*N19)*R19)</f>
        <v>#NAME?</v>
      </c>
      <c r="AA19" s="352"/>
      <c r="AB19" s="352"/>
      <c r="AC19" s="334"/>
    </row>
    <row r="20" customFormat="false" ht="15" hidden="false" customHeight="true" outlineLevel="0" collapsed="false">
      <c r="A20" s="329"/>
      <c r="B20" s="333"/>
      <c r="C20" s="329"/>
      <c r="D20" s="337" t="s">
        <v>570</v>
      </c>
      <c r="E20" s="337"/>
      <c r="F20" s="337"/>
      <c r="G20" s="337"/>
      <c r="H20" s="337"/>
      <c r="I20" s="329"/>
      <c r="J20" s="351" t="e">
        <f aca="false">GANTT_Data_Referencias!$E$9</f>
        <v>#NAME?</v>
      </c>
      <c r="K20" s="351"/>
      <c r="L20" s="351"/>
      <c r="M20" s="329"/>
      <c r="N20" s="352" t="n">
        <f aca="false">GANTT_Data_Referencias!$E$23</f>
        <v>27</v>
      </c>
      <c r="O20" s="352"/>
      <c r="P20" s="352"/>
      <c r="Q20" s="329"/>
      <c r="R20" s="351" t="n">
        <v>1</v>
      </c>
      <c r="S20" s="351"/>
      <c r="T20" s="351"/>
      <c r="U20" s="329"/>
      <c r="V20" s="353" t="n">
        <v>0.05</v>
      </c>
      <c r="W20" s="353"/>
      <c r="X20" s="353"/>
      <c r="Y20" s="329"/>
      <c r="Z20" s="352" t="e">
        <f aca="false">((J20*N20)*R20)*V20+((J20*N20)*R20)</f>
        <v>#NAME?</v>
      </c>
      <c r="AA20" s="352"/>
      <c r="AB20" s="352"/>
      <c r="AC20" s="334"/>
    </row>
    <row r="21" customFormat="false" ht="15" hidden="false" customHeight="true" outlineLevel="0" collapsed="false">
      <c r="A21" s="329"/>
      <c r="B21" s="333"/>
      <c r="C21" s="329"/>
      <c r="D21" s="337" t="s">
        <v>571</v>
      </c>
      <c r="E21" s="337"/>
      <c r="F21" s="337"/>
      <c r="G21" s="337"/>
      <c r="H21" s="337"/>
      <c r="I21" s="329"/>
      <c r="J21" s="351" t="e">
        <f aca="false">GANTT_Data_Referencias!$E$10</f>
        <v>#NAME?</v>
      </c>
      <c r="K21" s="351"/>
      <c r="L21" s="351"/>
      <c r="M21" s="329"/>
      <c r="N21" s="352" t="n">
        <f aca="false">GANTT_Data_Referencias!$E$24</f>
        <v>32</v>
      </c>
      <c r="O21" s="352"/>
      <c r="P21" s="352"/>
      <c r="Q21" s="329"/>
      <c r="R21" s="351" t="n">
        <v>1</v>
      </c>
      <c r="S21" s="351"/>
      <c r="T21" s="351"/>
      <c r="U21" s="329"/>
      <c r="V21" s="353" t="n">
        <v>0.05</v>
      </c>
      <c r="W21" s="353"/>
      <c r="X21" s="353"/>
      <c r="Y21" s="329"/>
      <c r="Z21" s="352" t="e">
        <f aca="false">((J21*N21)*R21)*V21+((J21*N21)*R21)</f>
        <v>#NAME?</v>
      </c>
      <c r="AA21" s="352"/>
      <c r="AB21" s="352"/>
      <c r="AC21" s="334"/>
    </row>
    <row r="22" customFormat="false" ht="15" hidden="false" customHeight="true" outlineLevel="0" collapsed="false">
      <c r="A22" s="329"/>
      <c r="B22" s="333"/>
      <c r="C22" s="329"/>
      <c r="D22" s="337" t="s">
        <v>523</v>
      </c>
      <c r="E22" s="337"/>
      <c r="F22" s="337"/>
      <c r="G22" s="337"/>
      <c r="H22" s="337"/>
      <c r="I22" s="329"/>
      <c r="J22" s="351" t="e">
        <f aca="false">GANTT_Data_Referencias!$E$11</f>
        <v>#NAME?</v>
      </c>
      <c r="K22" s="351"/>
      <c r="L22" s="351"/>
      <c r="M22" s="329"/>
      <c r="N22" s="352" t="n">
        <f aca="false">GANTT_Data_Referencias!$E$24</f>
        <v>32</v>
      </c>
      <c r="O22" s="352"/>
      <c r="P22" s="352"/>
      <c r="Q22" s="329"/>
      <c r="R22" s="351" t="n">
        <v>1</v>
      </c>
      <c r="S22" s="351"/>
      <c r="T22" s="351"/>
      <c r="U22" s="329"/>
      <c r="V22" s="353" t="n">
        <v>0.05</v>
      </c>
      <c r="W22" s="353"/>
      <c r="X22" s="353"/>
      <c r="Y22" s="329"/>
      <c r="Z22" s="352" t="e">
        <f aca="false">((J22*N22)*R22)*V22+((J22*N22)*R22)</f>
        <v>#NAME?</v>
      </c>
      <c r="AA22" s="352"/>
      <c r="AB22" s="352"/>
      <c r="AC22" s="334"/>
    </row>
    <row r="23" customFormat="false" ht="15" hidden="false" customHeight="true" outlineLevel="0" collapsed="false">
      <c r="A23" s="329"/>
      <c r="B23" s="333"/>
      <c r="C23" s="329"/>
      <c r="D23" s="337" t="s">
        <v>547</v>
      </c>
      <c r="E23" s="337"/>
      <c r="F23" s="337"/>
      <c r="G23" s="337"/>
      <c r="H23" s="337"/>
      <c r="I23" s="329"/>
      <c r="J23" s="351" t="e">
        <f aca="false">GANTT_Data_Referencias!$E$12</f>
        <v>#NAME?</v>
      </c>
      <c r="K23" s="351"/>
      <c r="L23" s="351"/>
      <c r="M23" s="329"/>
      <c r="N23" s="352" t="n">
        <f aca="false">GANTT_Data_Referencias!$E$25</f>
        <v>32</v>
      </c>
      <c r="O23" s="352"/>
      <c r="P23" s="352"/>
      <c r="Q23" s="329"/>
      <c r="R23" s="351" t="n">
        <v>1</v>
      </c>
      <c r="S23" s="351"/>
      <c r="T23" s="351"/>
      <c r="U23" s="329"/>
      <c r="V23" s="353" t="n">
        <v>0.05</v>
      </c>
      <c r="W23" s="353"/>
      <c r="X23" s="353"/>
      <c r="Y23" s="329"/>
      <c r="Z23" s="352" t="e">
        <f aca="false">((J23*N23)*R23)*V23+((J23*N23)*R23)</f>
        <v>#NAME?</v>
      </c>
      <c r="AA23" s="352"/>
      <c r="AB23" s="352"/>
      <c r="AC23" s="334"/>
    </row>
    <row r="24" customFormat="false" ht="15" hidden="false" customHeight="true" outlineLevel="0" collapsed="false">
      <c r="A24" s="329"/>
      <c r="B24" s="333"/>
      <c r="C24" s="329"/>
      <c r="D24" s="337" t="s">
        <v>550</v>
      </c>
      <c r="E24" s="337"/>
      <c r="F24" s="337"/>
      <c r="G24" s="337"/>
      <c r="H24" s="337"/>
      <c r="I24" s="329"/>
      <c r="J24" s="351" t="e">
        <f aca="false">GANTT_Data_Referencias!$E$13</f>
        <v>#NAME?</v>
      </c>
      <c r="K24" s="351"/>
      <c r="L24" s="351"/>
      <c r="M24" s="329"/>
      <c r="N24" s="352" t="n">
        <f aca="false">GANTT_Data_Referencias!$E$26</f>
        <v>32</v>
      </c>
      <c r="O24" s="352"/>
      <c r="P24" s="352"/>
      <c r="Q24" s="329"/>
      <c r="R24" s="351" t="n">
        <v>1</v>
      </c>
      <c r="S24" s="351"/>
      <c r="T24" s="351"/>
      <c r="U24" s="329"/>
      <c r="V24" s="353" t="n">
        <v>0.05</v>
      </c>
      <c r="W24" s="353"/>
      <c r="X24" s="353"/>
      <c r="Y24" s="329"/>
      <c r="Z24" s="352" t="e">
        <f aca="false">((J24*N24)*R24)*V24+((J24*N24)*R24)</f>
        <v>#NAME?</v>
      </c>
      <c r="AA24" s="352"/>
      <c r="AB24" s="352"/>
      <c r="AC24" s="334"/>
    </row>
    <row r="25" customFormat="false" ht="15" hidden="false" customHeight="true" outlineLevel="0" collapsed="false">
      <c r="A25" s="329"/>
      <c r="B25" s="333"/>
      <c r="C25" s="329"/>
      <c r="D25" s="329"/>
      <c r="E25" s="329"/>
      <c r="F25" s="329"/>
      <c r="G25" s="329"/>
      <c r="H25" s="329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29"/>
      <c r="AC25" s="334"/>
    </row>
    <row r="26" customFormat="false" ht="15" hidden="false" customHeight="true" outlineLevel="0" collapsed="false">
      <c r="A26" s="329"/>
      <c r="B26" s="333"/>
      <c r="C26" s="329"/>
      <c r="D26" s="329"/>
      <c r="E26" s="335" t="s">
        <v>572</v>
      </c>
      <c r="F26" s="335"/>
      <c r="G26" s="335"/>
      <c r="H26" s="335"/>
      <c r="I26" s="329"/>
      <c r="J26" s="351" t="e">
        <f aca="false">SUM(J17:J23)</f>
        <v>#NAME?</v>
      </c>
      <c r="K26" s="351"/>
      <c r="L26" s="351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54" t="s">
        <v>573</v>
      </c>
      <c r="Z26" s="355" t="e">
        <f aca="false">SUM(Z17:Z23)</f>
        <v>#NAME?</v>
      </c>
      <c r="AA26" s="355"/>
      <c r="AB26" s="355"/>
      <c r="AC26" s="334"/>
    </row>
    <row r="27" customFormat="false" ht="15" hidden="false" customHeight="true" outlineLevel="0" collapsed="false">
      <c r="A27" s="329"/>
      <c r="B27" s="333"/>
      <c r="C27" s="329"/>
      <c r="D27" s="329"/>
      <c r="E27" s="329"/>
      <c r="F27" s="329"/>
      <c r="G27" s="329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34"/>
    </row>
    <row r="28" customFormat="false" ht="15" hidden="false" customHeight="true" outlineLevel="0" collapsed="false">
      <c r="A28" s="329"/>
      <c r="B28" s="333"/>
      <c r="C28" s="349" t="s">
        <v>574</v>
      </c>
      <c r="D28" s="335" t="s">
        <v>575</v>
      </c>
      <c r="E28" s="335"/>
      <c r="F28" s="335"/>
      <c r="G28" s="335"/>
      <c r="H28" s="33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4"/>
    </row>
    <row r="29" customFormat="false" ht="15" hidden="false" customHeight="true" outlineLevel="0" collapsed="false">
      <c r="A29" s="329"/>
      <c r="B29" s="333"/>
      <c r="C29" s="329"/>
      <c r="D29" s="337" t="s">
        <v>576</v>
      </c>
      <c r="E29" s="337"/>
      <c r="F29" s="337"/>
      <c r="G29" s="337"/>
      <c r="H29" s="337"/>
      <c r="I29" s="329"/>
      <c r="J29" s="337" t="n">
        <v>1</v>
      </c>
      <c r="K29" s="337"/>
      <c r="L29" s="337"/>
      <c r="M29" s="329"/>
      <c r="N29" s="352" t="n">
        <v>16</v>
      </c>
      <c r="O29" s="352"/>
      <c r="P29" s="352"/>
      <c r="Q29" s="329"/>
      <c r="R29" s="356" t="n">
        <v>2</v>
      </c>
      <c r="S29" s="329"/>
      <c r="T29" s="356" t="s">
        <v>577</v>
      </c>
      <c r="U29" s="329"/>
      <c r="V29" s="353" t="n">
        <v>0.07</v>
      </c>
      <c r="W29" s="353"/>
      <c r="X29" s="353"/>
      <c r="Y29" s="329"/>
      <c r="Z29" s="352" t="n">
        <f aca="false">((R29*N29)*V29+(R29*N29))*J29</f>
        <v>34.24</v>
      </c>
      <c r="AA29" s="352"/>
      <c r="AB29" s="352"/>
      <c r="AC29" s="334"/>
    </row>
    <row r="30" customFormat="false" ht="15" hidden="false" customHeight="true" outlineLevel="0" collapsed="false">
      <c r="A30" s="329"/>
      <c r="B30" s="333"/>
      <c r="C30" s="329"/>
      <c r="D30" s="337" t="s">
        <v>578</v>
      </c>
      <c r="E30" s="337"/>
      <c r="F30" s="337"/>
      <c r="G30" s="337"/>
      <c r="H30" s="337"/>
      <c r="I30" s="329"/>
      <c r="J30" s="337"/>
      <c r="K30" s="337"/>
      <c r="L30" s="337"/>
      <c r="M30" s="329"/>
      <c r="N30" s="352" t="n">
        <v>10</v>
      </c>
      <c r="O30" s="352"/>
      <c r="P30" s="352"/>
      <c r="Q30" s="329"/>
      <c r="R30" s="356" t="n">
        <v>1</v>
      </c>
      <c r="S30" s="329"/>
      <c r="T30" s="356" t="s">
        <v>579</v>
      </c>
      <c r="U30" s="329"/>
      <c r="V30" s="353" t="n">
        <v>0.07</v>
      </c>
      <c r="W30" s="353"/>
      <c r="X30" s="353"/>
      <c r="Y30" s="329"/>
      <c r="Z30" s="352" t="n">
        <f aca="false">(R30*N30)*V30+(R30*N30)</f>
        <v>10.7</v>
      </c>
      <c r="AA30" s="352"/>
      <c r="AB30" s="352"/>
      <c r="AC30" s="334"/>
    </row>
    <row r="31" customFormat="false" ht="15" hidden="false" customHeight="true" outlineLevel="0" collapsed="false">
      <c r="A31" s="329"/>
      <c r="B31" s="333"/>
      <c r="C31" s="329"/>
      <c r="D31" s="329" t="s">
        <v>580</v>
      </c>
      <c r="E31" s="329"/>
      <c r="F31" s="329"/>
      <c r="G31" s="329"/>
      <c r="H31" s="329"/>
      <c r="I31" s="329"/>
      <c r="J31" s="329"/>
      <c r="K31" s="329"/>
      <c r="L31" s="329"/>
      <c r="M31" s="329"/>
      <c r="N31" s="352" t="n">
        <v>14</v>
      </c>
      <c r="O31" s="352"/>
      <c r="P31" s="352"/>
      <c r="Q31" s="329"/>
      <c r="R31" s="356" t="n">
        <v>1</v>
      </c>
      <c r="S31" s="329"/>
      <c r="T31" s="356" t="s">
        <v>579</v>
      </c>
      <c r="U31" s="329"/>
      <c r="V31" s="353" t="n">
        <v>0.07</v>
      </c>
      <c r="W31" s="353"/>
      <c r="X31" s="353"/>
      <c r="Y31" s="329"/>
      <c r="Z31" s="352" t="n">
        <f aca="false">(R31*N31)*V31+(R31*N31)</f>
        <v>14.98</v>
      </c>
      <c r="AA31" s="352"/>
      <c r="AB31" s="352"/>
      <c r="AC31" s="334"/>
    </row>
    <row r="32" customFormat="false" ht="15" hidden="false" customHeight="true" outlineLevel="0" collapsed="false">
      <c r="A32" s="329"/>
      <c r="B32" s="333"/>
      <c r="C32" s="329"/>
      <c r="D32" s="337" t="s">
        <v>581</v>
      </c>
      <c r="E32" s="337"/>
      <c r="F32" s="337"/>
      <c r="G32" s="337"/>
      <c r="H32" s="337"/>
      <c r="I32" s="329"/>
      <c r="J32" s="337"/>
      <c r="K32" s="337"/>
      <c r="L32" s="337"/>
      <c r="M32" s="329"/>
      <c r="N32" s="352" t="n">
        <v>2.5</v>
      </c>
      <c r="O32" s="352"/>
      <c r="P32" s="352"/>
      <c r="Q32" s="329"/>
      <c r="R32" s="356" t="n">
        <v>1</v>
      </c>
      <c r="S32" s="329"/>
      <c r="T32" s="356" t="s">
        <v>579</v>
      </c>
      <c r="U32" s="329"/>
      <c r="V32" s="353" t="n">
        <v>0.07</v>
      </c>
      <c r="W32" s="353"/>
      <c r="X32" s="353"/>
      <c r="Y32" s="329"/>
      <c r="Z32" s="352" t="n">
        <f aca="false">(R32*N32)*V32+(R32*N32)</f>
        <v>2.675</v>
      </c>
      <c r="AA32" s="352"/>
      <c r="AB32" s="352"/>
      <c r="AC32" s="334"/>
    </row>
    <row r="33" customFormat="false" ht="15" hidden="false" customHeight="true" outlineLevel="0" collapsed="false">
      <c r="A33" s="329"/>
      <c r="B33" s="333"/>
      <c r="C33" s="329"/>
      <c r="D33" s="329"/>
      <c r="E33" s="329"/>
      <c r="F33" s="329"/>
      <c r="G33" s="329"/>
      <c r="H33" s="329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34"/>
    </row>
    <row r="34" customFormat="false" ht="15" hidden="false" customHeight="true" outlineLevel="0" collapsed="false">
      <c r="A34" s="329"/>
      <c r="B34" s="333"/>
      <c r="C34" s="329"/>
      <c r="D34" s="329"/>
      <c r="E34" s="335" t="s">
        <v>572</v>
      </c>
      <c r="F34" s="335"/>
      <c r="G34" s="335"/>
      <c r="H34" s="335"/>
      <c r="I34" s="329"/>
      <c r="J34" s="337"/>
      <c r="K34" s="337"/>
      <c r="L34" s="337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54" t="s">
        <v>573</v>
      </c>
      <c r="Z34" s="355" t="n">
        <f aca="false">SUM(Z29:Z32)</f>
        <v>62.595</v>
      </c>
      <c r="AA34" s="355"/>
      <c r="AB34" s="355"/>
      <c r="AC34" s="334"/>
    </row>
    <row r="35" customFormat="false" ht="15" hidden="false" customHeight="true" outlineLevel="0" collapsed="false">
      <c r="A35" s="329"/>
      <c r="B35" s="333"/>
      <c r="C35" s="329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34"/>
    </row>
    <row r="36" customFormat="false" ht="15" hidden="false" customHeight="true" outlineLevel="0" collapsed="false">
      <c r="A36" s="329"/>
      <c r="B36" s="333"/>
      <c r="C36" s="329"/>
      <c r="D36" s="329"/>
      <c r="E36" s="329"/>
      <c r="F36" s="329"/>
      <c r="G36" s="329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34"/>
    </row>
    <row r="37" customFormat="false" ht="21" hidden="false" customHeight="true" outlineLevel="0" collapsed="false">
      <c r="A37" s="345"/>
      <c r="B37" s="357" t="s">
        <v>582</v>
      </c>
      <c r="C37" s="357"/>
      <c r="D37" s="357"/>
      <c r="E37" s="357"/>
      <c r="F37" s="357"/>
      <c r="G37" s="357"/>
      <c r="H37" s="357"/>
      <c r="I37" s="357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T37" s="358"/>
      <c r="U37" s="358"/>
      <c r="V37" s="359" t="s">
        <v>573</v>
      </c>
      <c r="W37" s="359"/>
      <c r="X37" s="359"/>
      <c r="Y37" s="359"/>
      <c r="Z37" s="360" t="e">
        <f aca="false">Z26+Z34</f>
        <v>#NAME?</v>
      </c>
      <c r="AA37" s="360"/>
      <c r="AB37" s="360"/>
      <c r="AC37" s="360"/>
      <c r="AD37" s="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I6:N6"/>
    <mergeCell ref="Q6:S6"/>
    <mergeCell ref="U6:Z6"/>
    <mergeCell ref="Q8:T8"/>
    <mergeCell ref="U8:X8"/>
    <mergeCell ref="Q9:T9"/>
    <mergeCell ref="U9:W9"/>
    <mergeCell ref="X9:Z9"/>
    <mergeCell ref="Q10:T10"/>
    <mergeCell ref="U10:W10"/>
    <mergeCell ref="X10:Z10"/>
    <mergeCell ref="C12:AB12"/>
    <mergeCell ref="D14:AB14"/>
    <mergeCell ref="D16:G16"/>
    <mergeCell ref="J16:L16"/>
    <mergeCell ref="N16:P16"/>
    <mergeCell ref="R16:T16"/>
    <mergeCell ref="V16:X16"/>
    <mergeCell ref="Z16:AB16"/>
    <mergeCell ref="D17:H17"/>
    <mergeCell ref="J17:L17"/>
    <mergeCell ref="N17:P17"/>
    <mergeCell ref="R17:T17"/>
    <mergeCell ref="V17:X17"/>
    <mergeCell ref="Z17:AB17"/>
    <mergeCell ref="D18:H18"/>
    <mergeCell ref="J18:L18"/>
    <mergeCell ref="N18:P18"/>
    <mergeCell ref="R18:T18"/>
    <mergeCell ref="V18:X18"/>
    <mergeCell ref="Z18:AB18"/>
    <mergeCell ref="D19:H19"/>
    <mergeCell ref="J19:L19"/>
    <mergeCell ref="N19:P19"/>
    <mergeCell ref="R19:T19"/>
    <mergeCell ref="V19:X19"/>
    <mergeCell ref="Z19:AB19"/>
    <mergeCell ref="D20:H20"/>
    <mergeCell ref="J20:L20"/>
    <mergeCell ref="N20:P20"/>
    <mergeCell ref="R20:T20"/>
    <mergeCell ref="V20:X20"/>
    <mergeCell ref="Z20:AB20"/>
    <mergeCell ref="D21:H21"/>
    <mergeCell ref="J21:L21"/>
    <mergeCell ref="N21:P21"/>
    <mergeCell ref="R21:T21"/>
    <mergeCell ref="V21:X21"/>
    <mergeCell ref="Z21:AB21"/>
    <mergeCell ref="D22:H22"/>
    <mergeCell ref="J22:L22"/>
    <mergeCell ref="N22:P22"/>
    <mergeCell ref="R22:T22"/>
    <mergeCell ref="V22:X22"/>
    <mergeCell ref="Z22:AB22"/>
    <mergeCell ref="D23:H23"/>
    <mergeCell ref="J23:L23"/>
    <mergeCell ref="N23:P23"/>
    <mergeCell ref="R23:T23"/>
    <mergeCell ref="V23:X23"/>
    <mergeCell ref="Z23:AB23"/>
    <mergeCell ref="D24:H24"/>
    <mergeCell ref="J24:L24"/>
    <mergeCell ref="N24:P24"/>
    <mergeCell ref="R24:T24"/>
    <mergeCell ref="V24:X24"/>
    <mergeCell ref="Z24:AB24"/>
    <mergeCell ref="E26:H26"/>
    <mergeCell ref="J26:L26"/>
    <mergeCell ref="Z26:AB26"/>
    <mergeCell ref="D28:AB28"/>
    <mergeCell ref="D29:H29"/>
    <mergeCell ref="J29:L29"/>
    <mergeCell ref="N29:P29"/>
    <mergeCell ref="V29:X29"/>
    <mergeCell ref="Z29:AB29"/>
    <mergeCell ref="D30:H30"/>
    <mergeCell ref="J30:L30"/>
    <mergeCell ref="N30:P30"/>
    <mergeCell ref="V30:X30"/>
    <mergeCell ref="Z30:AB30"/>
    <mergeCell ref="N31:P31"/>
    <mergeCell ref="V31:X31"/>
    <mergeCell ref="Z31:AB31"/>
    <mergeCell ref="D32:H32"/>
    <mergeCell ref="J32:L32"/>
    <mergeCell ref="N32:P32"/>
    <mergeCell ref="V32:X32"/>
    <mergeCell ref="Z32:AB32"/>
    <mergeCell ref="E34:H34"/>
    <mergeCell ref="J34:L34"/>
    <mergeCell ref="Z34:AB34"/>
    <mergeCell ref="B37:I37"/>
    <mergeCell ref="J37:M37"/>
    <mergeCell ref="N37:Q37"/>
    <mergeCell ref="R37:U37"/>
    <mergeCell ref="V37:Y37"/>
    <mergeCell ref="Z37:AC37"/>
  </mergeCells>
  <dataValidations count="3">
    <dataValidation allowBlank="true" errorStyle="stop" operator="greaterThan" prompt="Introduce un número mayor que 0" showDropDown="true" showErrorMessage="true" showInputMessage="true" sqref="N29:N32" type="decimal">
      <formula1>0</formula1>
      <formula2>0</formula2>
    </dataValidation>
    <dataValidation allowBlank="true" errorStyle="stop" operator="greaterThanOrEqual" prompt="Introduce un número mayor o igual que 1" showDropDown="true" showErrorMessage="true" showInputMessage="true" sqref="R29:R32" type="decimal">
      <formula1>1</formula1>
      <formula2>0</formula2>
    </dataValidation>
    <dataValidation allowBlank="true" errorStyle="stop" operator="between" prompt="Introduce un número entre 1 y 5" showDropDown="true" showErrorMessage="true" showInputMessage="true" sqref="R17:R24" type="decimal">
      <formula1>1</formula1>
      <formula2>5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BV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72" min="13" style="1" width="3.78"/>
    <col collapsed="false" customWidth="true" hidden="false" outlineLevel="0" max="73" min="73" style="1" width="1"/>
    <col collapsed="false" customWidth="true" hidden="false" outlineLevel="0" max="74" min="74" style="1" width="8.44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22.5" hidden="false" customHeight="true" outlineLevel="0" collapsed="false">
      <c r="B2" s="28"/>
      <c r="C2" s="28"/>
      <c r="D2" s="28"/>
      <c r="E2" s="28"/>
      <c r="F2" s="28"/>
      <c r="G2" s="28"/>
      <c r="H2" s="28"/>
      <c r="I2" s="28"/>
      <c r="J2" s="363"/>
      <c r="K2" s="364" t="s">
        <v>4</v>
      </c>
      <c r="L2" s="365" t="s">
        <v>584</v>
      </c>
      <c r="M2" s="366"/>
      <c r="N2" s="366"/>
      <c r="O2" s="366"/>
      <c r="P2" s="367"/>
      <c r="Q2" s="367"/>
      <c r="R2" s="367"/>
      <c r="S2" s="367"/>
      <c r="T2" s="367"/>
      <c r="U2" s="367"/>
      <c r="V2" s="367"/>
      <c r="W2" s="367"/>
      <c r="X2" s="367"/>
      <c r="Y2" s="367"/>
      <c r="Z2" s="367"/>
      <c r="AA2" s="367"/>
      <c r="AB2" s="367"/>
      <c r="AC2" s="367"/>
      <c r="AD2" s="367"/>
      <c r="AE2" s="367"/>
      <c r="AF2" s="367"/>
      <c r="BV2" s="2"/>
    </row>
    <row r="3" customFormat="false" ht="22.5" hidden="false" customHeight="true" outlineLevel="0" collapsed="false">
      <c r="B3" s="28"/>
      <c r="C3" s="28"/>
      <c r="D3" s="28"/>
      <c r="E3" s="28"/>
      <c r="F3" s="28"/>
      <c r="G3" s="28"/>
      <c r="H3" s="28"/>
      <c r="I3" s="28"/>
      <c r="J3" s="363"/>
      <c r="K3" s="364"/>
      <c r="L3" s="368" t="s">
        <v>585</v>
      </c>
      <c r="M3" s="19"/>
      <c r="N3" s="19"/>
      <c r="O3" s="19"/>
      <c r="P3" s="369"/>
      <c r="Q3" s="369"/>
      <c r="R3" s="369"/>
      <c r="S3" s="369"/>
      <c r="T3" s="369"/>
      <c r="U3" s="369"/>
      <c r="V3" s="370"/>
      <c r="W3" s="370"/>
      <c r="X3" s="370"/>
      <c r="Y3" s="370"/>
      <c r="Z3" s="370"/>
      <c r="AA3" s="370"/>
      <c r="AB3" s="370"/>
      <c r="AC3" s="370"/>
      <c r="AD3" s="370"/>
      <c r="AE3" s="370"/>
      <c r="AF3" s="370"/>
      <c r="BV3" s="2"/>
    </row>
    <row r="4" customFormat="false" ht="22.5" hidden="false" customHeight="true" outlineLevel="0" collapsed="false">
      <c r="B4" s="259"/>
      <c r="C4" s="4"/>
      <c r="D4" s="4"/>
      <c r="E4" s="4"/>
      <c r="F4" s="4"/>
      <c r="G4" s="4"/>
      <c r="H4" s="4"/>
      <c r="I4" s="259"/>
      <c r="J4" s="4"/>
      <c r="K4" s="364"/>
      <c r="L4" s="371" t="s">
        <v>586</v>
      </c>
      <c r="M4" s="19"/>
      <c r="N4" s="19"/>
      <c r="O4" s="19"/>
      <c r="P4" s="369"/>
      <c r="Q4" s="369"/>
      <c r="R4" s="369"/>
      <c r="S4" s="369"/>
      <c r="T4" s="369"/>
      <c r="U4" s="369"/>
      <c r="V4" s="369"/>
      <c r="W4" s="369"/>
      <c r="X4" s="369"/>
      <c r="Y4" s="369"/>
      <c r="Z4" s="369"/>
      <c r="AA4" s="372"/>
      <c r="AB4" s="372"/>
      <c r="AC4" s="372"/>
      <c r="AD4" s="372"/>
      <c r="AE4" s="372"/>
      <c r="AF4" s="372"/>
      <c r="AG4" s="372"/>
      <c r="AH4" s="372"/>
      <c r="AI4" s="372"/>
      <c r="AJ4" s="369"/>
      <c r="AK4" s="369"/>
      <c r="AL4" s="369"/>
      <c r="AM4" s="369"/>
      <c r="AN4" s="369"/>
      <c r="AO4" s="369"/>
      <c r="AP4" s="369"/>
      <c r="AQ4" s="369"/>
      <c r="AR4" s="369"/>
      <c r="AS4" s="369"/>
      <c r="AT4" s="369"/>
      <c r="AU4" s="369"/>
      <c r="AV4" s="369"/>
      <c r="AW4" s="369"/>
      <c r="AX4" s="369"/>
      <c r="AY4" s="369"/>
      <c r="AZ4" s="369"/>
      <c r="BA4" s="369"/>
      <c r="BB4" s="369"/>
      <c r="BC4" s="369"/>
      <c r="BD4" s="369"/>
      <c r="BE4" s="369"/>
      <c r="BF4" s="369"/>
      <c r="BG4" s="369"/>
      <c r="BH4" s="369"/>
      <c r="BI4" s="369"/>
      <c r="BJ4" s="369"/>
      <c r="BK4" s="369"/>
      <c r="BL4" s="369"/>
      <c r="BM4" s="369"/>
      <c r="BN4" s="369"/>
      <c r="BO4" s="369"/>
      <c r="BP4" s="369"/>
      <c r="BQ4" s="369"/>
      <c r="BR4" s="369"/>
      <c r="BS4" s="369"/>
      <c r="BT4" s="373"/>
      <c r="BU4" s="257"/>
      <c r="BV4" s="362"/>
    </row>
    <row r="5" customFormat="false" ht="22.5" hidden="false" customHeight="true" outlineLevel="0" collapsed="false">
      <c r="B5" s="259"/>
      <c r="C5" s="4"/>
      <c r="D5" s="4"/>
      <c r="E5" s="4"/>
      <c r="F5" s="4"/>
      <c r="G5" s="4"/>
      <c r="H5" s="4"/>
      <c r="I5" s="259"/>
      <c r="J5" s="4"/>
      <c r="K5" s="364"/>
      <c r="L5" s="374" t="s">
        <v>587</v>
      </c>
      <c r="M5" s="19"/>
      <c r="N5" s="19"/>
      <c r="O5" s="19"/>
      <c r="P5" s="369"/>
      <c r="Q5" s="369"/>
      <c r="R5" s="369"/>
      <c r="S5" s="369"/>
      <c r="T5" s="369"/>
      <c r="U5" s="369"/>
      <c r="V5" s="369"/>
      <c r="W5" s="369"/>
      <c r="X5" s="369"/>
      <c r="Y5" s="369"/>
      <c r="Z5" s="369"/>
      <c r="AA5" s="369"/>
      <c r="AB5" s="369"/>
      <c r="AC5" s="369"/>
      <c r="AD5" s="369"/>
      <c r="AE5" s="369"/>
      <c r="AF5" s="375"/>
      <c r="AG5" s="375"/>
      <c r="AH5" s="375"/>
      <c r="AI5" s="375"/>
      <c r="AJ5" s="375"/>
      <c r="AK5" s="375"/>
      <c r="AL5" s="375"/>
      <c r="AM5" s="375"/>
      <c r="AN5" s="375"/>
      <c r="AO5" s="375"/>
      <c r="AP5" s="375"/>
      <c r="AQ5" s="375"/>
      <c r="AR5" s="375"/>
      <c r="AS5" s="375"/>
      <c r="AT5" s="375"/>
      <c r="AU5" s="375"/>
      <c r="AV5" s="375"/>
      <c r="AW5" s="369"/>
      <c r="AX5" s="369"/>
      <c r="AY5" s="369"/>
      <c r="AZ5" s="369"/>
      <c r="BA5" s="369"/>
      <c r="BB5" s="369"/>
      <c r="BC5" s="369"/>
      <c r="BD5" s="369"/>
      <c r="BE5" s="369"/>
      <c r="BF5" s="369"/>
      <c r="BG5" s="369"/>
      <c r="BH5" s="369"/>
      <c r="BI5" s="369"/>
      <c r="BJ5" s="369"/>
      <c r="BK5" s="369"/>
      <c r="BL5" s="369"/>
      <c r="BM5" s="369"/>
      <c r="BN5" s="369"/>
      <c r="BO5" s="369"/>
      <c r="BP5" s="369"/>
      <c r="BQ5" s="369"/>
      <c r="BR5" s="369"/>
      <c r="BS5" s="369"/>
      <c r="BT5" s="373"/>
      <c r="BU5" s="257"/>
      <c r="BV5" s="362"/>
    </row>
    <row r="6" customFormat="false" ht="22.5" hidden="false" customHeight="true" outlineLevel="0" collapsed="false">
      <c r="B6" s="259"/>
      <c r="C6" s="4"/>
      <c r="D6" s="4"/>
      <c r="E6" s="4"/>
      <c r="F6" s="4"/>
      <c r="G6" s="4"/>
      <c r="H6" s="4"/>
      <c r="I6" s="259"/>
      <c r="J6" s="4"/>
      <c r="K6" s="364"/>
      <c r="L6" s="376" t="s">
        <v>588</v>
      </c>
      <c r="M6" s="19"/>
      <c r="N6" s="19"/>
      <c r="O6" s="19"/>
      <c r="P6" s="369"/>
      <c r="Q6" s="369"/>
      <c r="R6" s="369"/>
      <c r="S6" s="369"/>
      <c r="T6" s="369"/>
      <c r="U6" s="369"/>
      <c r="V6" s="369"/>
      <c r="W6" s="369"/>
      <c r="X6" s="369"/>
      <c r="Y6" s="369"/>
      <c r="Z6" s="369"/>
      <c r="AA6" s="369"/>
      <c r="AB6" s="369"/>
      <c r="AC6" s="369"/>
      <c r="AD6" s="369"/>
      <c r="AE6" s="369"/>
      <c r="AF6" s="369"/>
      <c r="AG6" s="369"/>
      <c r="AH6" s="369"/>
      <c r="AI6" s="369"/>
      <c r="AJ6" s="369"/>
      <c r="AK6" s="369"/>
      <c r="AL6" s="369"/>
      <c r="AM6" s="369"/>
      <c r="AN6" s="369"/>
      <c r="AO6" s="369"/>
      <c r="AP6" s="369"/>
      <c r="AQ6" s="369"/>
      <c r="AR6" s="369"/>
      <c r="AS6" s="369"/>
      <c r="AT6" s="369"/>
      <c r="AU6" s="369"/>
      <c r="AV6" s="369"/>
      <c r="AW6" s="377"/>
      <c r="AX6" s="377"/>
      <c r="AY6" s="377"/>
      <c r="AZ6" s="377"/>
      <c r="BA6" s="377"/>
      <c r="BB6" s="377"/>
      <c r="BC6" s="377"/>
      <c r="BD6" s="377"/>
      <c r="BE6" s="377"/>
      <c r="BF6" s="369"/>
      <c r="BG6" s="369"/>
      <c r="BH6" s="369"/>
      <c r="BI6" s="369"/>
      <c r="BJ6" s="369"/>
      <c r="BK6" s="369"/>
      <c r="BL6" s="369"/>
      <c r="BM6" s="369"/>
      <c r="BN6" s="369"/>
      <c r="BO6" s="369"/>
      <c r="BP6" s="369"/>
      <c r="BQ6" s="369"/>
      <c r="BR6" s="369"/>
      <c r="BS6" s="369"/>
      <c r="BT6" s="373"/>
      <c r="BU6" s="257"/>
      <c r="BV6" s="362"/>
    </row>
    <row r="7" customFormat="false" ht="22.5" hidden="false" customHeight="true" outlineLevel="0" collapsed="false">
      <c r="B7" s="37" t="s">
        <v>589</v>
      </c>
      <c r="C7" s="378" t="s">
        <v>590</v>
      </c>
      <c r="D7" s="379" t="s">
        <v>591</v>
      </c>
      <c r="E7" s="40" t="s">
        <v>592</v>
      </c>
      <c r="F7" s="40"/>
      <c r="G7" s="40"/>
      <c r="H7" s="380" t="s">
        <v>22</v>
      </c>
      <c r="I7" s="43" t="s">
        <v>593</v>
      </c>
      <c r="J7" s="44" t="s">
        <v>594</v>
      </c>
      <c r="K7" s="381" t="s">
        <v>595</v>
      </c>
      <c r="L7" s="382" t="s">
        <v>596</v>
      </c>
      <c r="M7" s="383" t="s">
        <v>597</v>
      </c>
      <c r="N7" s="383"/>
      <c r="O7" s="383"/>
      <c r="P7" s="383"/>
      <c r="Q7" s="383"/>
      <c r="R7" s="384" t="s">
        <v>598</v>
      </c>
      <c r="S7" s="384"/>
      <c r="T7" s="384"/>
      <c r="U7" s="384"/>
      <c r="V7" s="384"/>
      <c r="W7" s="385" t="s">
        <v>599</v>
      </c>
      <c r="X7" s="385"/>
      <c r="Y7" s="385"/>
      <c r="Z7" s="385"/>
      <c r="AA7" s="385"/>
      <c r="AB7" s="386" t="s">
        <v>600</v>
      </c>
      <c r="AC7" s="386"/>
      <c r="AD7" s="386"/>
      <c r="AE7" s="386"/>
      <c r="AF7" s="386"/>
      <c r="AG7" s="387" t="s">
        <v>601</v>
      </c>
      <c r="AH7" s="387"/>
      <c r="AI7" s="387"/>
      <c r="AJ7" s="387"/>
      <c r="AK7" s="387"/>
      <c r="AL7" s="388" t="s">
        <v>602</v>
      </c>
      <c r="AM7" s="388"/>
      <c r="AN7" s="388"/>
      <c r="AO7" s="388"/>
      <c r="AP7" s="388"/>
      <c r="AQ7" s="389" t="s">
        <v>603</v>
      </c>
      <c r="AR7" s="389"/>
      <c r="AS7" s="389"/>
      <c r="AT7" s="389"/>
      <c r="AU7" s="389"/>
      <c r="AV7" s="390" t="s">
        <v>604</v>
      </c>
      <c r="AW7" s="390"/>
      <c r="AX7" s="390"/>
      <c r="AY7" s="390"/>
      <c r="AZ7" s="390"/>
      <c r="BA7" s="391" t="s">
        <v>605</v>
      </c>
      <c r="BB7" s="391"/>
      <c r="BC7" s="391"/>
      <c r="BD7" s="391"/>
      <c r="BE7" s="391"/>
      <c r="BF7" s="392" t="s">
        <v>606</v>
      </c>
      <c r="BG7" s="392"/>
      <c r="BH7" s="392"/>
      <c r="BI7" s="392"/>
      <c r="BJ7" s="392"/>
      <c r="BK7" s="393" t="s">
        <v>607</v>
      </c>
      <c r="BL7" s="393"/>
      <c r="BM7" s="393"/>
      <c r="BN7" s="393"/>
      <c r="BO7" s="393"/>
      <c r="BP7" s="394" t="s">
        <v>608</v>
      </c>
      <c r="BQ7" s="394"/>
      <c r="BR7" s="394"/>
      <c r="BS7" s="394"/>
      <c r="BT7" s="394"/>
      <c r="BU7" s="257"/>
      <c r="BV7" s="362"/>
    </row>
    <row r="8" customFormat="false" ht="22.5" hidden="false" customHeight="true" outlineLevel="0" collapsed="false">
      <c r="B8" s="37"/>
      <c r="C8" s="378"/>
      <c r="D8" s="379"/>
      <c r="E8" s="395" t="s">
        <v>609</v>
      </c>
      <c r="F8" s="396" t="s">
        <v>610</v>
      </c>
      <c r="G8" s="397" t="s">
        <v>611</v>
      </c>
      <c r="H8" s="380"/>
      <c r="I8" s="43"/>
      <c r="J8" s="44"/>
      <c r="K8" s="44"/>
      <c r="L8" s="382"/>
      <c r="M8" s="398" t="s">
        <v>612</v>
      </c>
      <c r="N8" s="399" t="s">
        <v>613</v>
      </c>
      <c r="O8" s="399" t="s">
        <v>614</v>
      </c>
      <c r="P8" s="399" t="s">
        <v>615</v>
      </c>
      <c r="Q8" s="399" t="s">
        <v>616</v>
      </c>
      <c r="R8" s="399" t="s">
        <v>612</v>
      </c>
      <c r="S8" s="399" t="s">
        <v>613</v>
      </c>
      <c r="T8" s="399" t="s">
        <v>614</v>
      </c>
      <c r="U8" s="399" t="s">
        <v>615</v>
      </c>
      <c r="V8" s="399" t="s">
        <v>616</v>
      </c>
      <c r="W8" s="399" t="s">
        <v>612</v>
      </c>
      <c r="X8" s="399" t="s">
        <v>613</v>
      </c>
      <c r="Y8" s="399" t="s">
        <v>614</v>
      </c>
      <c r="Z8" s="399" t="s">
        <v>615</v>
      </c>
      <c r="AA8" s="400" t="s">
        <v>616</v>
      </c>
      <c r="AB8" s="401" t="s">
        <v>612</v>
      </c>
      <c r="AC8" s="402" t="s">
        <v>613</v>
      </c>
      <c r="AD8" s="402" t="s">
        <v>614</v>
      </c>
      <c r="AE8" s="402" t="s">
        <v>615</v>
      </c>
      <c r="AF8" s="402" t="s">
        <v>616</v>
      </c>
      <c r="AG8" s="402" t="s">
        <v>612</v>
      </c>
      <c r="AH8" s="402" t="s">
        <v>613</v>
      </c>
      <c r="AI8" s="402" t="s">
        <v>614</v>
      </c>
      <c r="AJ8" s="402" t="s">
        <v>615</v>
      </c>
      <c r="AK8" s="402" t="s">
        <v>616</v>
      </c>
      <c r="AL8" s="402" t="s">
        <v>612</v>
      </c>
      <c r="AM8" s="402" t="s">
        <v>613</v>
      </c>
      <c r="AN8" s="402" t="s">
        <v>614</v>
      </c>
      <c r="AO8" s="402" t="s">
        <v>615</v>
      </c>
      <c r="AP8" s="403" t="s">
        <v>616</v>
      </c>
      <c r="AQ8" s="404" t="s">
        <v>612</v>
      </c>
      <c r="AR8" s="405" t="s">
        <v>613</v>
      </c>
      <c r="AS8" s="405" t="s">
        <v>614</v>
      </c>
      <c r="AT8" s="405" t="s">
        <v>615</v>
      </c>
      <c r="AU8" s="405" t="s">
        <v>616</v>
      </c>
      <c r="AV8" s="405" t="s">
        <v>612</v>
      </c>
      <c r="AW8" s="405" t="s">
        <v>613</v>
      </c>
      <c r="AX8" s="405" t="s">
        <v>614</v>
      </c>
      <c r="AY8" s="405" t="s">
        <v>615</v>
      </c>
      <c r="AZ8" s="405" t="s">
        <v>616</v>
      </c>
      <c r="BA8" s="405" t="s">
        <v>612</v>
      </c>
      <c r="BB8" s="405" t="s">
        <v>613</v>
      </c>
      <c r="BC8" s="405" t="s">
        <v>614</v>
      </c>
      <c r="BD8" s="405" t="s">
        <v>615</v>
      </c>
      <c r="BE8" s="406" t="s">
        <v>616</v>
      </c>
      <c r="BF8" s="407" t="s">
        <v>612</v>
      </c>
      <c r="BG8" s="408" t="s">
        <v>613</v>
      </c>
      <c r="BH8" s="408" t="s">
        <v>614</v>
      </c>
      <c r="BI8" s="408" t="s">
        <v>615</v>
      </c>
      <c r="BJ8" s="408" t="s">
        <v>616</v>
      </c>
      <c r="BK8" s="408" t="s">
        <v>612</v>
      </c>
      <c r="BL8" s="408" t="s">
        <v>613</v>
      </c>
      <c r="BM8" s="408" t="s">
        <v>614</v>
      </c>
      <c r="BN8" s="408" t="s">
        <v>615</v>
      </c>
      <c r="BO8" s="408" t="s">
        <v>616</v>
      </c>
      <c r="BP8" s="408" t="s">
        <v>612</v>
      </c>
      <c r="BQ8" s="408" t="s">
        <v>613</v>
      </c>
      <c r="BR8" s="408" t="s">
        <v>614</v>
      </c>
      <c r="BS8" s="408" t="s">
        <v>615</v>
      </c>
      <c r="BT8" s="409" t="s">
        <v>616</v>
      </c>
      <c r="BU8" s="257"/>
      <c r="BV8" s="362"/>
    </row>
    <row r="9" customFormat="false" ht="22.5" hidden="false" customHeight="true" outlineLevel="0" collapsed="false">
      <c r="B9" s="410" t="n">
        <v>1</v>
      </c>
      <c r="C9" s="145" t="s">
        <v>617</v>
      </c>
      <c r="D9" s="411"/>
      <c r="E9" s="412" t="n">
        <f aca="false">SUM(E10:E16)</f>
        <v>309</v>
      </c>
      <c r="F9" s="413" t="n">
        <f aca="false">SUM(F10:F16)</f>
        <v>309</v>
      </c>
      <c r="G9" s="414" t="n">
        <f aca="false">SUM(G10:G16)</f>
        <v>0</v>
      </c>
      <c r="H9" s="415"/>
      <c r="I9" s="416"/>
      <c r="J9" s="417"/>
      <c r="K9" s="165"/>
      <c r="L9" s="418" t="n">
        <f aca="false">IFERROR(F9/E9,"")</f>
        <v>1</v>
      </c>
      <c r="M9" s="68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419"/>
      <c r="AB9" s="68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419"/>
      <c r="AQ9" s="68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419"/>
      <c r="BF9" s="68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419"/>
      <c r="BU9" s="257"/>
      <c r="BV9" s="362"/>
    </row>
    <row r="10" customFormat="false" ht="22.5" hidden="false" customHeight="true" outlineLevel="0" collapsed="false">
      <c r="B10" s="420" t="n">
        <v>1.1</v>
      </c>
      <c r="C10" s="147" t="s">
        <v>618</v>
      </c>
      <c r="D10" s="127" t="s">
        <v>619</v>
      </c>
      <c r="E10" s="139" t="n">
        <v>40</v>
      </c>
      <c r="F10" s="140" t="n">
        <v>40</v>
      </c>
      <c r="G10" s="141" t="n">
        <f aca="false">E10-F10</f>
        <v>0</v>
      </c>
      <c r="H10" s="166" t="n">
        <v>1</v>
      </c>
      <c r="I10" s="421" t="n">
        <v>48285</v>
      </c>
      <c r="J10" s="422" t="n">
        <v>48288</v>
      </c>
      <c r="K10" s="143" t="n">
        <f aca="false">J10-I10+1</f>
        <v>4</v>
      </c>
      <c r="L10" s="423" t="n">
        <f aca="false">IFERROR(F10/E10,"")</f>
        <v>1</v>
      </c>
      <c r="M10" s="87"/>
      <c r="N10" s="88"/>
      <c r="O10" s="88"/>
      <c r="P10" s="88"/>
      <c r="Q10" s="424"/>
      <c r="R10" s="424"/>
      <c r="S10" s="424"/>
      <c r="T10" s="424"/>
      <c r="U10" s="425"/>
      <c r="V10" s="425"/>
      <c r="W10" s="88"/>
      <c r="X10" s="88"/>
      <c r="Y10" s="88"/>
      <c r="Z10" s="88"/>
      <c r="AA10" s="426"/>
      <c r="AB10" s="87"/>
      <c r="AC10" s="88"/>
      <c r="AD10" s="88"/>
      <c r="AE10" s="88"/>
      <c r="AF10" s="88"/>
      <c r="AG10" s="427"/>
      <c r="AH10" s="427"/>
      <c r="AI10" s="427"/>
      <c r="AJ10" s="427"/>
      <c r="AK10" s="427"/>
      <c r="AL10" s="88"/>
      <c r="AM10" s="88"/>
      <c r="AN10" s="88"/>
      <c r="AO10" s="88"/>
      <c r="AP10" s="426"/>
      <c r="AQ10" s="87"/>
      <c r="AR10" s="88"/>
      <c r="AS10" s="88"/>
      <c r="AT10" s="88"/>
      <c r="AU10" s="88"/>
      <c r="AV10" s="428"/>
      <c r="AW10" s="428"/>
      <c r="AX10" s="428"/>
      <c r="AY10" s="428"/>
      <c r="AZ10" s="428"/>
      <c r="BA10" s="88"/>
      <c r="BB10" s="88"/>
      <c r="BC10" s="88"/>
      <c r="BD10" s="88"/>
      <c r="BE10" s="426"/>
      <c r="BF10" s="87"/>
      <c r="BG10" s="88"/>
      <c r="BH10" s="88"/>
      <c r="BI10" s="88"/>
      <c r="BJ10" s="88"/>
      <c r="BK10" s="429"/>
      <c r="BL10" s="429"/>
      <c r="BM10" s="429"/>
      <c r="BN10" s="429"/>
      <c r="BO10" s="429"/>
      <c r="BP10" s="88"/>
      <c r="BQ10" s="88"/>
      <c r="BR10" s="88"/>
      <c r="BS10" s="88"/>
      <c r="BT10" s="426"/>
      <c r="BU10" s="257"/>
      <c r="BV10" s="362"/>
    </row>
    <row r="11" customFormat="false" ht="22.5" hidden="false" customHeight="true" outlineLevel="0" collapsed="false">
      <c r="B11" s="420" t="s">
        <v>620</v>
      </c>
      <c r="C11" s="147" t="s">
        <v>621</v>
      </c>
      <c r="D11" s="127" t="s">
        <v>622</v>
      </c>
      <c r="E11" s="139" t="n">
        <v>25</v>
      </c>
      <c r="F11" s="140" t="n">
        <v>25</v>
      </c>
      <c r="G11" s="141" t="n">
        <f aca="false">E11-F11</f>
        <v>0</v>
      </c>
      <c r="H11" s="166" t="n">
        <v>1</v>
      </c>
      <c r="I11" s="421" t="n">
        <v>48288</v>
      </c>
      <c r="J11" s="422" t="n">
        <v>48289</v>
      </c>
      <c r="K11" s="143" t="n">
        <f aca="false">J11-I11+1</f>
        <v>2</v>
      </c>
      <c r="L11" s="423" t="n">
        <f aca="false">IFERROR(F11/E11,"")</f>
        <v>1</v>
      </c>
      <c r="M11" s="87"/>
      <c r="N11" s="88"/>
      <c r="O11" s="88"/>
      <c r="P11" s="88"/>
      <c r="Q11" s="88"/>
      <c r="R11" s="425"/>
      <c r="S11" s="425"/>
      <c r="T11" s="424"/>
      <c r="U11" s="424"/>
      <c r="V11" s="425"/>
      <c r="W11" s="88"/>
      <c r="X11" s="88"/>
      <c r="Y11" s="88"/>
      <c r="Z11" s="88"/>
      <c r="AA11" s="426"/>
      <c r="AB11" s="87"/>
      <c r="AC11" s="88"/>
      <c r="AD11" s="88"/>
      <c r="AE11" s="88"/>
      <c r="AF11" s="88"/>
      <c r="AG11" s="427"/>
      <c r="AH11" s="427"/>
      <c r="AI11" s="427"/>
      <c r="AJ11" s="427"/>
      <c r="AK11" s="427"/>
      <c r="AL11" s="88"/>
      <c r="AM11" s="88"/>
      <c r="AN11" s="88"/>
      <c r="AO11" s="88"/>
      <c r="AP11" s="426"/>
      <c r="AQ11" s="87"/>
      <c r="AR11" s="88"/>
      <c r="AS11" s="88"/>
      <c r="AT11" s="88"/>
      <c r="AU11" s="88"/>
      <c r="AV11" s="428"/>
      <c r="AW11" s="428"/>
      <c r="AX11" s="428"/>
      <c r="AY11" s="428"/>
      <c r="AZ11" s="428"/>
      <c r="BA11" s="88"/>
      <c r="BB11" s="88"/>
      <c r="BC11" s="88"/>
      <c r="BD11" s="88"/>
      <c r="BE11" s="426"/>
      <c r="BF11" s="87"/>
      <c r="BG11" s="88"/>
      <c r="BH11" s="88"/>
      <c r="BI11" s="88"/>
      <c r="BJ11" s="88"/>
      <c r="BK11" s="429"/>
      <c r="BL11" s="429"/>
      <c r="BM11" s="429"/>
      <c r="BN11" s="429"/>
      <c r="BO11" s="429"/>
      <c r="BP11" s="88"/>
      <c r="BQ11" s="88"/>
      <c r="BR11" s="88"/>
      <c r="BS11" s="88"/>
      <c r="BT11" s="426"/>
      <c r="BU11" s="257"/>
      <c r="BV11" s="362"/>
    </row>
    <row r="12" customFormat="false" ht="22.5" hidden="false" customHeight="true" outlineLevel="0" collapsed="false">
      <c r="B12" s="420" t="n">
        <v>1.2</v>
      </c>
      <c r="C12" s="147" t="s">
        <v>623</v>
      </c>
      <c r="D12" s="127" t="s">
        <v>624</v>
      </c>
      <c r="E12" s="139" t="n">
        <v>100</v>
      </c>
      <c r="F12" s="140" t="n">
        <v>100</v>
      </c>
      <c r="G12" s="141" t="n">
        <f aca="false">E12-F12</f>
        <v>0</v>
      </c>
      <c r="H12" s="166" t="n">
        <v>1</v>
      </c>
      <c r="I12" s="421" t="n">
        <v>48288</v>
      </c>
      <c r="J12" s="422" t="n">
        <v>48294</v>
      </c>
      <c r="K12" s="143" t="n">
        <f aca="false">J12-I12+1</f>
        <v>7</v>
      </c>
      <c r="L12" s="423" t="n">
        <f aca="false">IFERROR(F12/E12,"")</f>
        <v>1</v>
      </c>
      <c r="M12" s="87"/>
      <c r="N12" s="88"/>
      <c r="O12" s="88"/>
      <c r="P12" s="88"/>
      <c r="Q12" s="88"/>
      <c r="R12" s="425"/>
      <c r="S12" s="425"/>
      <c r="T12" s="424"/>
      <c r="V12" s="424"/>
      <c r="W12" s="424"/>
      <c r="X12" s="424"/>
      <c r="Y12" s="424"/>
      <c r="Z12" s="424"/>
      <c r="AA12" s="426"/>
      <c r="AB12" s="87"/>
      <c r="AC12" s="88"/>
      <c r="AD12" s="88"/>
      <c r="AE12" s="88"/>
      <c r="AF12" s="88"/>
      <c r="AG12" s="427"/>
      <c r="AH12" s="427"/>
      <c r="AI12" s="427"/>
      <c r="AJ12" s="427"/>
      <c r="AK12" s="427"/>
      <c r="AL12" s="88"/>
      <c r="AM12" s="88"/>
      <c r="AN12" s="88"/>
      <c r="AO12" s="88"/>
      <c r="AP12" s="426"/>
      <c r="AQ12" s="87"/>
      <c r="AR12" s="88"/>
      <c r="AS12" s="88"/>
      <c r="AT12" s="88"/>
      <c r="AU12" s="88"/>
      <c r="AV12" s="428"/>
      <c r="AW12" s="428"/>
      <c r="AX12" s="428"/>
      <c r="AY12" s="428"/>
      <c r="AZ12" s="428"/>
      <c r="BA12" s="88"/>
      <c r="BB12" s="88"/>
      <c r="BC12" s="88"/>
      <c r="BD12" s="88"/>
      <c r="BE12" s="426"/>
      <c r="BF12" s="87"/>
      <c r="BG12" s="88"/>
      <c r="BH12" s="88"/>
      <c r="BI12" s="88"/>
      <c r="BJ12" s="88"/>
      <c r="BK12" s="429"/>
      <c r="BL12" s="429"/>
      <c r="BM12" s="429"/>
      <c r="BN12" s="429"/>
      <c r="BO12" s="429"/>
      <c r="BP12" s="88"/>
      <c r="BQ12" s="88"/>
      <c r="BR12" s="88"/>
      <c r="BS12" s="88"/>
      <c r="BT12" s="426"/>
      <c r="BU12" s="257"/>
      <c r="BV12" s="362"/>
    </row>
    <row r="13" customFormat="false" ht="22.5" hidden="false" customHeight="true" outlineLevel="0" collapsed="false">
      <c r="B13" s="420" t="n">
        <v>1.3</v>
      </c>
      <c r="C13" s="147" t="s">
        <v>625</v>
      </c>
      <c r="D13" s="127" t="s">
        <v>626</v>
      </c>
      <c r="E13" s="139" t="n">
        <v>60</v>
      </c>
      <c r="F13" s="140" t="n">
        <v>60</v>
      </c>
      <c r="G13" s="141" t="n">
        <f aca="false">E13-F13</f>
        <v>0</v>
      </c>
      <c r="H13" s="166" t="n">
        <v>1</v>
      </c>
      <c r="I13" s="421" t="n">
        <v>48289</v>
      </c>
      <c r="J13" s="422" t="n">
        <v>48295</v>
      </c>
      <c r="K13" s="143" t="n">
        <f aca="false">J13-I13+1</f>
        <v>7</v>
      </c>
      <c r="L13" s="423" t="n">
        <f aca="false">IFERROR(F13/E13,"")</f>
        <v>1</v>
      </c>
      <c r="M13" s="87"/>
      <c r="N13" s="88"/>
      <c r="O13" s="88"/>
      <c r="P13" s="88"/>
      <c r="Q13" s="88"/>
      <c r="R13" s="425"/>
      <c r="S13" s="425"/>
      <c r="T13" s="425"/>
      <c r="U13" s="424"/>
      <c r="V13" s="424"/>
      <c r="W13" s="424"/>
      <c r="X13" s="424"/>
      <c r="Y13" s="424"/>
      <c r="Z13" s="424"/>
      <c r="AA13" s="426"/>
      <c r="AB13" s="87"/>
      <c r="AC13" s="88"/>
      <c r="AD13" s="88"/>
      <c r="AE13" s="88"/>
      <c r="AF13" s="88"/>
      <c r="AG13" s="427"/>
      <c r="AH13" s="427"/>
      <c r="AI13" s="427"/>
      <c r="AJ13" s="427"/>
      <c r="AK13" s="427"/>
      <c r="AL13" s="88"/>
      <c r="AM13" s="88"/>
      <c r="AN13" s="88"/>
      <c r="AO13" s="88"/>
      <c r="AP13" s="426"/>
      <c r="AQ13" s="87"/>
      <c r="AR13" s="88"/>
      <c r="AS13" s="88"/>
      <c r="AT13" s="88"/>
      <c r="AU13" s="88"/>
      <c r="AV13" s="428"/>
      <c r="AW13" s="428"/>
      <c r="AX13" s="428"/>
      <c r="AY13" s="428"/>
      <c r="AZ13" s="428"/>
      <c r="BA13" s="88"/>
      <c r="BB13" s="88"/>
      <c r="BC13" s="88"/>
      <c r="BD13" s="88"/>
      <c r="BE13" s="426"/>
      <c r="BF13" s="87"/>
      <c r="BG13" s="88"/>
      <c r="BH13" s="88"/>
      <c r="BI13" s="88"/>
      <c r="BJ13" s="88"/>
      <c r="BK13" s="429"/>
      <c r="BL13" s="429"/>
      <c r="BM13" s="429"/>
      <c r="BN13" s="429"/>
      <c r="BO13" s="429"/>
      <c r="BP13" s="88"/>
      <c r="BQ13" s="88"/>
      <c r="BR13" s="88"/>
      <c r="BS13" s="88"/>
      <c r="BT13" s="426"/>
      <c r="BU13" s="257"/>
      <c r="BV13" s="362"/>
    </row>
    <row r="14" customFormat="false" ht="22.5" hidden="false" customHeight="true" outlineLevel="0" collapsed="false">
      <c r="B14" s="420" t="n">
        <v>1.4</v>
      </c>
      <c r="C14" s="147" t="s">
        <v>627</v>
      </c>
      <c r="D14" s="127" t="s">
        <v>628</v>
      </c>
      <c r="E14" s="139" t="n">
        <v>40</v>
      </c>
      <c r="F14" s="140" t="n">
        <v>40</v>
      </c>
      <c r="G14" s="141" t="n">
        <f aca="false">E14-F14</f>
        <v>0</v>
      </c>
      <c r="H14" s="166" t="n">
        <v>2</v>
      </c>
      <c r="I14" s="421" t="n">
        <v>48290</v>
      </c>
      <c r="J14" s="422" t="n">
        <v>48295</v>
      </c>
      <c r="K14" s="143" t="n">
        <f aca="false">J14-I14+1</f>
        <v>6</v>
      </c>
      <c r="L14" s="423" t="n">
        <f aca="false">IFERROR(F14/E14,"")</f>
        <v>1</v>
      </c>
      <c r="M14" s="87"/>
      <c r="N14" s="88"/>
      <c r="O14" s="88"/>
      <c r="P14" s="88"/>
      <c r="Q14" s="88"/>
      <c r="R14" s="425"/>
      <c r="S14" s="425"/>
      <c r="T14" s="425"/>
      <c r="U14" s="425"/>
      <c r="V14" s="424"/>
      <c r="W14" s="424"/>
      <c r="X14" s="424"/>
      <c r="Y14" s="424"/>
      <c r="Z14" s="424"/>
      <c r="AA14" s="426"/>
      <c r="AB14" s="87"/>
      <c r="AC14" s="88"/>
      <c r="AD14" s="88"/>
      <c r="AE14" s="88"/>
      <c r="AF14" s="88"/>
      <c r="AG14" s="427"/>
      <c r="AH14" s="427"/>
      <c r="AI14" s="427"/>
      <c r="AJ14" s="427"/>
      <c r="AK14" s="427"/>
      <c r="AL14" s="88"/>
      <c r="AM14" s="88"/>
      <c r="AN14" s="88"/>
      <c r="AO14" s="88"/>
      <c r="AP14" s="426"/>
      <c r="AQ14" s="87"/>
      <c r="AR14" s="88"/>
      <c r="AS14" s="88"/>
      <c r="AT14" s="88"/>
      <c r="AU14" s="88"/>
      <c r="AV14" s="428"/>
      <c r="AW14" s="428"/>
      <c r="AX14" s="428"/>
      <c r="AY14" s="428"/>
      <c r="AZ14" s="428"/>
      <c r="BA14" s="88"/>
      <c r="BB14" s="88"/>
      <c r="BC14" s="88"/>
      <c r="BD14" s="88"/>
      <c r="BE14" s="426"/>
      <c r="BF14" s="87"/>
      <c r="BG14" s="88"/>
      <c r="BH14" s="88"/>
      <c r="BI14" s="88"/>
      <c r="BJ14" s="88"/>
      <c r="BK14" s="429"/>
      <c r="BL14" s="429"/>
      <c r="BM14" s="429"/>
      <c r="BN14" s="429"/>
      <c r="BO14" s="429"/>
      <c r="BP14" s="88"/>
      <c r="BQ14" s="88"/>
      <c r="BR14" s="88"/>
      <c r="BS14" s="88"/>
      <c r="BT14" s="426"/>
      <c r="BU14" s="257"/>
      <c r="BV14" s="362"/>
    </row>
    <row r="15" customFormat="false" ht="22.5" hidden="false" customHeight="true" outlineLevel="0" collapsed="false">
      <c r="B15" s="420" t="n">
        <v>1.5</v>
      </c>
      <c r="C15" s="147" t="s">
        <v>629</v>
      </c>
      <c r="D15" s="127" t="s">
        <v>630</v>
      </c>
      <c r="E15" s="139" t="n">
        <v>32</v>
      </c>
      <c r="F15" s="140" t="n">
        <v>32</v>
      </c>
      <c r="G15" s="141" t="n">
        <f aca="false">E15-F15</f>
        <v>0</v>
      </c>
      <c r="H15" s="166" t="n">
        <v>2</v>
      </c>
      <c r="I15" s="421" t="n">
        <v>48291</v>
      </c>
      <c r="J15" s="422" t="n">
        <v>48295</v>
      </c>
      <c r="K15" s="143" t="n">
        <f aca="false">J15-I15+1</f>
        <v>5</v>
      </c>
      <c r="L15" s="423" t="n">
        <f aca="false">IFERROR(F15/E15,"")</f>
        <v>1</v>
      </c>
      <c r="M15" s="87"/>
      <c r="N15" s="88"/>
      <c r="O15" s="88"/>
      <c r="P15" s="88"/>
      <c r="Q15" s="88"/>
      <c r="R15" s="425"/>
      <c r="S15" s="425"/>
      <c r="T15" s="425"/>
      <c r="U15" s="425"/>
      <c r="V15" s="425"/>
      <c r="W15" s="424"/>
      <c r="X15" s="424"/>
      <c r="Y15" s="424"/>
      <c r="Z15" s="424"/>
      <c r="AA15" s="426"/>
      <c r="AB15" s="87"/>
      <c r="AC15" s="88"/>
      <c r="AD15" s="88"/>
      <c r="AE15" s="88"/>
      <c r="AF15" s="88"/>
      <c r="AG15" s="427"/>
      <c r="AH15" s="427"/>
      <c r="AI15" s="427"/>
      <c r="AJ15" s="427"/>
      <c r="AK15" s="427"/>
      <c r="AL15" s="88"/>
      <c r="AM15" s="88"/>
      <c r="AN15" s="88"/>
      <c r="AO15" s="88"/>
      <c r="AP15" s="426"/>
      <c r="AQ15" s="87"/>
      <c r="AR15" s="88"/>
      <c r="AS15" s="88"/>
      <c r="AT15" s="88"/>
      <c r="AU15" s="88"/>
      <c r="AV15" s="428"/>
      <c r="AW15" s="428"/>
      <c r="AX15" s="428"/>
      <c r="AY15" s="428"/>
      <c r="AZ15" s="428"/>
      <c r="BA15" s="88"/>
      <c r="BB15" s="88"/>
      <c r="BC15" s="88"/>
      <c r="BD15" s="88"/>
      <c r="BE15" s="426"/>
      <c r="BF15" s="87"/>
      <c r="BG15" s="88"/>
      <c r="BH15" s="88"/>
      <c r="BI15" s="88"/>
      <c r="BJ15" s="88"/>
      <c r="BK15" s="429"/>
      <c r="BL15" s="429"/>
      <c r="BM15" s="429"/>
      <c r="BN15" s="429"/>
      <c r="BO15" s="429"/>
      <c r="BP15" s="88"/>
      <c r="BQ15" s="88"/>
      <c r="BR15" s="88"/>
      <c r="BS15" s="88"/>
      <c r="BT15" s="426"/>
      <c r="BU15" s="257"/>
      <c r="BV15" s="362"/>
    </row>
    <row r="16" customFormat="false" ht="22.5" hidden="false" customHeight="true" outlineLevel="0" collapsed="false">
      <c r="B16" s="420" t="n">
        <v>1.6</v>
      </c>
      <c r="C16" s="147" t="s">
        <v>631</v>
      </c>
      <c r="D16" s="127" t="s">
        <v>632</v>
      </c>
      <c r="E16" s="139" t="n">
        <v>12</v>
      </c>
      <c r="F16" s="140" t="n">
        <v>12</v>
      </c>
      <c r="G16" s="141" t="n">
        <f aca="false">E16-F16</f>
        <v>0</v>
      </c>
      <c r="H16" s="166" t="n">
        <v>2</v>
      </c>
      <c r="I16" s="421" t="n">
        <v>48296</v>
      </c>
      <c r="J16" s="422" t="n">
        <v>48296</v>
      </c>
      <c r="K16" s="143" t="n">
        <f aca="false">J16-I16+1</f>
        <v>1</v>
      </c>
      <c r="L16" s="423" t="n">
        <f aca="false">IFERROR(F16/E16,"")</f>
        <v>1</v>
      </c>
      <c r="M16" s="87"/>
      <c r="N16" s="88"/>
      <c r="O16" s="88"/>
      <c r="P16" s="88"/>
      <c r="Q16" s="88"/>
      <c r="R16" s="425"/>
      <c r="S16" s="425"/>
      <c r="T16" s="425"/>
      <c r="U16" s="425"/>
      <c r="V16" s="425"/>
      <c r="W16" s="88"/>
      <c r="X16" s="88"/>
      <c r="Y16" s="88"/>
      <c r="Z16" s="88"/>
      <c r="AA16" s="430"/>
      <c r="AB16" s="87"/>
      <c r="AC16" s="88"/>
      <c r="AD16" s="88"/>
      <c r="AE16" s="88"/>
      <c r="AF16" s="88"/>
      <c r="AG16" s="427"/>
      <c r="AH16" s="427"/>
      <c r="AI16" s="427"/>
      <c r="AJ16" s="427"/>
      <c r="AK16" s="427"/>
      <c r="AL16" s="88"/>
      <c r="AM16" s="88"/>
      <c r="AN16" s="88"/>
      <c r="AO16" s="88"/>
      <c r="AP16" s="426"/>
      <c r="AQ16" s="87"/>
      <c r="AR16" s="88"/>
      <c r="AS16" s="88"/>
      <c r="AT16" s="88"/>
      <c r="AU16" s="88"/>
      <c r="AV16" s="428"/>
      <c r="AW16" s="428"/>
      <c r="AX16" s="428"/>
      <c r="AY16" s="428"/>
      <c r="AZ16" s="428"/>
      <c r="BA16" s="88"/>
      <c r="BB16" s="88"/>
      <c r="BC16" s="88"/>
      <c r="BD16" s="88"/>
      <c r="BE16" s="426"/>
      <c r="BF16" s="87"/>
      <c r="BG16" s="88"/>
      <c r="BH16" s="88"/>
      <c r="BI16" s="88"/>
      <c r="BJ16" s="88"/>
      <c r="BK16" s="429"/>
      <c r="BL16" s="429"/>
      <c r="BM16" s="429"/>
      <c r="BN16" s="429"/>
      <c r="BO16" s="429"/>
      <c r="BP16" s="88"/>
      <c r="BQ16" s="88"/>
      <c r="BR16" s="88"/>
      <c r="BS16" s="88"/>
      <c r="BT16" s="426"/>
      <c r="BU16" s="257"/>
      <c r="BV16" s="362"/>
    </row>
    <row r="17" customFormat="false" ht="22.5" hidden="false" customHeight="true" outlineLevel="0" collapsed="false">
      <c r="B17" s="420" t="n">
        <v>2</v>
      </c>
      <c r="C17" s="431" t="s">
        <v>633</v>
      </c>
      <c r="D17" s="432"/>
      <c r="E17" s="412" t="n">
        <f aca="false">SUM(E18:E21)</f>
        <v>210</v>
      </c>
      <c r="F17" s="413" t="n">
        <f aca="false">SUM(F18:F21)</f>
        <v>110</v>
      </c>
      <c r="G17" s="414" t="n">
        <f aca="false">SUM(G18:G21)</f>
        <v>100</v>
      </c>
      <c r="H17" s="433"/>
      <c r="I17" s="434"/>
      <c r="J17" s="435"/>
      <c r="K17" s="436"/>
      <c r="L17" s="418" t="n">
        <f aca="false">IFERROR(F17/E17,"")</f>
        <v>0.523809523809524</v>
      </c>
      <c r="M17" s="68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419"/>
      <c r="AB17" s="68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419"/>
      <c r="AQ17" s="68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419"/>
      <c r="BF17" s="68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419"/>
      <c r="BU17" s="257"/>
      <c r="BV17" s="362"/>
    </row>
    <row r="18" customFormat="false" ht="22.5" hidden="false" customHeight="true" outlineLevel="0" collapsed="false">
      <c r="B18" s="420" t="n">
        <v>2.1</v>
      </c>
      <c r="C18" s="147" t="s">
        <v>634</v>
      </c>
      <c r="D18" s="127" t="s">
        <v>635</v>
      </c>
      <c r="E18" s="139" t="n">
        <v>80</v>
      </c>
      <c r="F18" s="140" t="n">
        <v>70</v>
      </c>
      <c r="G18" s="141" t="n">
        <f aca="false">E18-F18</f>
        <v>10</v>
      </c>
      <c r="H18" s="166" t="n">
        <v>3</v>
      </c>
      <c r="I18" s="421" t="n">
        <v>48297</v>
      </c>
      <c r="J18" s="422" t="n">
        <v>48301</v>
      </c>
      <c r="K18" s="143" t="n">
        <f aca="false">J18-I18+1</f>
        <v>5</v>
      </c>
      <c r="L18" s="423" t="n">
        <f aca="false">IFERROR(F18/E18,"")</f>
        <v>0.875</v>
      </c>
      <c r="M18" s="87"/>
      <c r="N18" s="88"/>
      <c r="O18" s="88"/>
      <c r="P18" s="88"/>
      <c r="Q18" s="88"/>
      <c r="R18" s="425"/>
      <c r="S18" s="425"/>
      <c r="T18" s="425"/>
      <c r="U18" s="425"/>
      <c r="V18" s="425"/>
      <c r="W18" s="88"/>
      <c r="X18" s="88"/>
      <c r="Y18" s="88"/>
      <c r="Z18" s="88"/>
      <c r="AA18" s="426"/>
      <c r="AB18" s="437"/>
      <c r="AC18" s="438"/>
      <c r="AD18" s="438"/>
      <c r="AE18" s="438"/>
      <c r="AF18" s="438"/>
      <c r="AG18" s="427"/>
      <c r="AH18" s="427"/>
      <c r="AI18" s="427"/>
      <c r="AJ18" s="427"/>
      <c r="AK18" s="427"/>
      <c r="AL18" s="88"/>
      <c r="AM18" s="88"/>
      <c r="AN18" s="88"/>
      <c r="AO18" s="88"/>
      <c r="AP18" s="426"/>
      <c r="AQ18" s="87"/>
      <c r="AR18" s="88"/>
      <c r="AS18" s="88"/>
      <c r="AT18" s="88"/>
      <c r="AU18" s="88"/>
      <c r="AV18" s="428"/>
      <c r="AW18" s="428"/>
      <c r="AX18" s="428"/>
      <c r="AY18" s="428"/>
      <c r="AZ18" s="428"/>
      <c r="BA18" s="88"/>
      <c r="BB18" s="88"/>
      <c r="BC18" s="88"/>
      <c r="BD18" s="88"/>
      <c r="BE18" s="426"/>
      <c r="BF18" s="87"/>
      <c r="BG18" s="88"/>
      <c r="BH18" s="88"/>
      <c r="BI18" s="88"/>
      <c r="BJ18" s="88"/>
      <c r="BK18" s="429"/>
      <c r="BL18" s="429"/>
      <c r="BM18" s="429"/>
      <c r="BN18" s="429"/>
      <c r="BO18" s="429"/>
      <c r="BP18" s="88"/>
      <c r="BQ18" s="88"/>
      <c r="BR18" s="88"/>
      <c r="BS18" s="88"/>
      <c r="BT18" s="426"/>
      <c r="BU18" s="257"/>
      <c r="BV18" s="362"/>
    </row>
    <row r="19" customFormat="false" ht="22.5" hidden="false" customHeight="true" outlineLevel="0" collapsed="false">
      <c r="B19" s="420" t="n">
        <v>2.2</v>
      </c>
      <c r="C19" s="147" t="s">
        <v>636</v>
      </c>
      <c r="D19" s="127" t="s">
        <v>637</v>
      </c>
      <c r="E19" s="139" t="n">
        <v>60</v>
      </c>
      <c r="F19" s="140" t="n">
        <v>40</v>
      </c>
      <c r="G19" s="141" t="n">
        <f aca="false">E19-F19</f>
        <v>20</v>
      </c>
      <c r="H19" s="166" t="n">
        <v>3</v>
      </c>
      <c r="I19" s="421" t="n">
        <v>48302</v>
      </c>
      <c r="J19" s="422" t="n">
        <v>48306</v>
      </c>
      <c r="K19" s="143" t="n">
        <f aca="false">J19-I19+1</f>
        <v>5</v>
      </c>
      <c r="L19" s="423" t="n">
        <f aca="false">IFERROR(F19/E19,"")</f>
        <v>0.666666666666667</v>
      </c>
      <c r="M19" s="87"/>
      <c r="N19" s="88"/>
      <c r="O19" s="88"/>
      <c r="P19" s="88"/>
      <c r="Q19" s="88"/>
      <c r="R19" s="425"/>
      <c r="S19" s="425"/>
      <c r="T19" s="425"/>
      <c r="U19" s="425"/>
      <c r="V19" s="425"/>
      <c r="W19" s="88"/>
      <c r="X19" s="88"/>
      <c r="Y19" s="88"/>
      <c r="Z19" s="88"/>
      <c r="AA19" s="426"/>
      <c r="AB19" s="87"/>
      <c r="AC19" s="88"/>
      <c r="AD19" s="88"/>
      <c r="AE19" s="88"/>
      <c r="AF19" s="88"/>
      <c r="AG19" s="438"/>
      <c r="AH19" s="438"/>
      <c r="AI19" s="438"/>
      <c r="AJ19" s="438"/>
      <c r="AK19" s="438"/>
      <c r="AL19" s="88"/>
      <c r="AM19" s="88"/>
      <c r="AN19" s="88"/>
      <c r="AO19" s="88"/>
      <c r="AP19" s="426"/>
      <c r="AQ19" s="87"/>
      <c r="AR19" s="88"/>
      <c r="AS19" s="88"/>
      <c r="AT19" s="88"/>
      <c r="AU19" s="88"/>
      <c r="AV19" s="428"/>
      <c r="AW19" s="428"/>
      <c r="AX19" s="428"/>
      <c r="AY19" s="428"/>
      <c r="AZ19" s="428"/>
      <c r="BA19" s="88"/>
      <c r="BB19" s="88"/>
      <c r="BC19" s="88"/>
      <c r="BD19" s="88"/>
      <c r="BE19" s="426"/>
      <c r="BF19" s="87"/>
      <c r="BG19" s="88"/>
      <c r="BH19" s="88"/>
      <c r="BI19" s="88"/>
      <c r="BJ19" s="88"/>
      <c r="BK19" s="429"/>
      <c r="BL19" s="429"/>
      <c r="BM19" s="429"/>
      <c r="BN19" s="429"/>
      <c r="BO19" s="429"/>
      <c r="BP19" s="88"/>
      <c r="BQ19" s="88"/>
      <c r="BR19" s="88"/>
      <c r="BS19" s="88"/>
      <c r="BT19" s="426"/>
      <c r="BU19" s="257"/>
      <c r="BV19" s="362"/>
    </row>
    <row r="20" customFormat="false" ht="22.5" hidden="false" customHeight="true" outlineLevel="0" collapsed="false">
      <c r="B20" s="420" t="n">
        <v>2.3</v>
      </c>
      <c r="C20" s="147" t="s">
        <v>638</v>
      </c>
      <c r="D20" s="127" t="s">
        <v>639</v>
      </c>
      <c r="E20" s="139" t="n">
        <v>40</v>
      </c>
      <c r="F20" s="140" t="n">
        <v>0</v>
      </c>
      <c r="G20" s="141" t="n">
        <f aca="false">E20-F20</f>
        <v>40</v>
      </c>
      <c r="H20" s="166" t="n">
        <v>3</v>
      </c>
      <c r="I20" s="421"/>
      <c r="J20" s="422"/>
      <c r="K20" s="143" t="n">
        <f aca="false">J20-I20+1</f>
        <v>1</v>
      </c>
      <c r="L20" s="423" t="n">
        <f aca="false">IFERROR(F20/E20,"")</f>
        <v>0</v>
      </c>
      <c r="M20" s="87"/>
      <c r="N20" s="88"/>
      <c r="O20" s="88"/>
      <c r="P20" s="88"/>
      <c r="Q20" s="88"/>
      <c r="R20" s="425"/>
      <c r="S20" s="425"/>
      <c r="T20" s="425"/>
      <c r="U20" s="425"/>
      <c r="V20" s="425"/>
      <c r="W20" s="88"/>
      <c r="X20" s="88"/>
      <c r="Y20" s="88"/>
      <c r="Z20" s="88"/>
      <c r="AA20" s="426"/>
      <c r="AB20" s="87"/>
      <c r="AC20" s="88"/>
      <c r="AD20" s="88"/>
      <c r="AE20" s="88"/>
      <c r="AF20" s="88"/>
      <c r="AG20" s="427"/>
      <c r="AH20" s="427"/>
      <c r="AI20" s="427"/>
      <c r="AJ20" s="427"/>
      <c r="AK20" s="427"/>
      <c r="AL20" s="88"/>
      <c r="AM20" s="88"/>
      <c r="AN20" s="88"/>
      <c r="AO20" s="88"/>
      <c r="AP20" s="426"/>
      <c r="AQ20" s="87"/>
      <c r="AR20" s="88"/>
      <c r="AS20" s="88"/>
      <c r="AT20" s="88"/>
      <c r="AU20" s="88"/>
      <c r="AV20" s="428"/>
      <c r="AW20" s="428"/>
      <c r="AX20" s="428"/>
      <c r="AY20" s="428"/>
      <c r="AZ20" s="428"/>
      <c r="BA20" s="88"/>
      <c r="BB20" s="88"/>
      <c r="BC20" s="88"/>
      <c r="BD20" s="88"/>
      <c r="BE20" s="426"/>
      <c r="BF20" s="87"/>
      <c r="BG20" s="88"/>
      <c r="BH20" s="88"/>
      <c r="BI20" s="88"/>
      <c r="BJ20" s="88"/>
      <c r="BK20" s="429"/>
      <c r="BL20" s="429"/>
      <c r="BM20" s="429"/>
      <c r="BN20" s="429"/>
      <c r="BO20" s="429"/>
      <c r="BP20" s="88"/>
      <c r="BQ20" s="88"/>
      <c r="BR20" s="88"/>
      <c r="BS20" s="88"/>
      <c r="BT20" s="426"/>
      <c r="BU20" s="257"/>
      <c r="BV20" s="362"/>
    </row>
    <row r="21" customFormat="false" ht="22.5" hidden="false" customHeight="true" outlineLevel="0" collapsed="false">
      <c r="B21" s="420" t="n">
        <v>2.4</v>
      </c>
      <c r="C21" s="147" t="s">
        <v>640</v>
      </c>
      <c r="D21" s="127" t="s">
        <v>641</v>
      </c>
      <c r="E21" s="139" t="n">
        <v>30</v>
      </c>
      <c r="F21" s="140" t="n">
        <v>0</v>
      </c>
      <c r="G21" s="141" t="n">
        <f aca="false">E21-F21</f>
        <v>30</v>
      </c>
      <c r="H21" s="166" t="n">
        <v>3</v>
      </c>
      <c r="I21" s="421"/>
      <c r="J21" s="422"/>
      <c r="K21" s="143" t="n">
        <f aca="false">J21-I21+1</f>
        <v>1</v>
      </c>
      <c r="L21" s="423" t="n">
        <f aca="false">IFERROR(F21/E21,"")</f>
        <v>0</v>
      </c>
      <c r="M21" s="87"/>
      <c r="N21" s="88"/>
      <c r="O21" s="88"/>
      <c r="P21" s="88"/>
      <c r="Q21" s="88"/>
      <c r="R21" s="425"/>
      <c r="S21" s="425"/>
      <c r="T21" s="425"/>
      <c r="U21" s="425"/>
      <c r="V21" s="425"/>
      <c r="W21" s="88"/>
      <c r="X21" s="88"/>
      <c r="Y21" s="88"/>
      <c r="Z21" s="88"/>
      <c r="AA21" s="426"/>
      <c r="AB21" s="87"/>
      <c r="AC21" s="88"/>
      <c r="AD21" s="88"/>
      <c r="AE21" s="88"/>
      <c r="AF21" s="88"/>
      <c r="AG21" s="427"/>
      <c r="AH21" s="427"/>
      <c r="AI21" s="427"/>
      <c r="AJ21" s="427"/>
      <c r="AK21" s="427"/>
      <c r="AL21" s="88"/>
      <c r="AM21" s="88"/>
      <c r="AN21" s="88"/>
      <c r="AO21" s="88"/>
      <c r="AP21" s="426"/>
      <c r="AQ21" s="87"/>
      <c r="AR21" s="88"/>
      <c r="AS21" s="88"/>
      <c r="AT21" s="88"/>
      <c r="AU21" s="88"/>
      <c r="AV21" s="428"/>
      <c r="AW21" s="428"/>
      <c r="AX21" s="428"/>
      <c r="AY21" s="428"/>
      <c r="AZ21" s="428"/>
      <c r="BA21" s="88"/>
      <c r="BB21" s="88"/>
      <c r="BC21" s="88"/>
      <c r="BD21" s="88"/>
      <c r="BE21" s="426"/>
      <c r="BF21" s="87"/>
      <c r="BG21" s="88"/>
      <c r="BH21" s="88"/>
      <c r="BI21" s="88"/>
      <c r="BJ21" s="88"/>
      <c r="BK21" s="429"/>
      <c r="BL21" s="429"/>
      <c r="BM21" s="429"/>
      <c r="BN21" s="429"/>
      <c r="BO21" s="429"/>
      <c r="BP21" s="88"/>
      <c r="BQ21" s="88"/>
      <c r="BR21" s="88"/>
      <c r="BS21" s="88"/>
      <c r="BT21" s="426"/>
      <c r="BU21" s="257"/>
      <c r="BV21" s="362"/>
    </row>
    <row r="22" customFormat="false" ht="22.5" hidden="false" customHeight="true" outlineLevel="0" collapsed="false">
      <c r="B22" s="420" t="n">
        <v>3</v>
      </c>
      <c r="C22" s="431" t="s">
        <v>642</v>
      </c>
      <c r="D22" s="432"/>
      <c r="E22" s="412" t="n">
        <f aca="false">SUM(E23:E28)</f>
        <v>66</v>
      </c>
      <c r="F22" s="413" t="n">
        <f aca="false">SUM(F23:F28)</f>
        <v>0</v>
      </c>
      <c r="G22" s="414" t="n">
        <f aca="false">SUM(G23:G28)</f>
        <v>66</v>
      </c>
      <c r="H22" s="433"/>
      <c r="I22" s="434"/>
      <c r="J22" s="435"/>
      <c r="K22" s="436"/>
      <c r="L22" s="418" t="n">
        <f aca="false">IFERROR(F22/E22,"")</f>
        <v>0</v>
      </c>
      <c r="M22" s="68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419"/>
      <c r="AB22" s="68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419"/>
      <c r="AQ22" s="68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419"/>
      <c r="BF22" s="68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419"/>
      <c r="BU22" s="257"/>
      <c r="BV22" s="362"/>
    </row>
    <row r="23" customFormat="false" ht="22.5" hidden="false" customHeight="true" outlineLevel="0" collapsed="false">
      <c r="B23" s="420" t="n">
        <v>3.1</v>
      </c>
      <c r="C23" s="147" t="s">
        <v>643</v>
      </c>
      <c r="D23" s="127" t="s">
        <v>644</v>
      </c>
      <c r="E23" s="139" t="n">
        <v>20</v>
      </c>
      <c r="F23" s="140" t="n">
        <v>0</v>
      </c>
      <c r="G23" s="141" t="n">
        <f aca="false">E23-F23</f>
        <v>20</v>
      </c>
      <c r="H23" s="166" t="n">
        <v>4</v>
      </c>
      <c r="I23" s="421"/>
      <c r="J23" s="422"/>
      <c r="K23" s="143" t="n">
        <f aca="false">J23-I23+1</f>
        <v>1</v>
      </c>
      <c r="L23" s="423" t="n">
        <f aca="false">IFERROR(F23/E23,"")</f>
        <v>0</v>
      </c>
      <c r="M23" s="87"/>
      <c r="N23" s="88"/>
      <c r="O23" s="88"/>
      <c r="P23" s="88"/>
      <c r="Q23" s="88"/>
      <c r="R23" s="425"/>
      <c r="S23" s="425"/>
      <c r="T23" s="425"/>
      <c r="U23" s="425"/>
      <c r="V23" s="425"/>
      <c r="W23" s="88"/>
      <c r="X23" s="88"/>
      <c r="Y23" s="88"/>
      <c r="Z23" s="88"/>
      <c r="AA23" s="426"/>
      <c r="AB23" s="87"/>
      <c r="AC23" s="88"/>
      <c r="AD23" s="88"/>
      <c r="AE23" s="88"/>
      <c r="AF23" s="88"/>
      <c r="AG23" s="427"/>
      <c r="AH23" s="427"/>
      <c r="AI23" s="427"/>
      <c r="AJ23" s="427"/>
      <c r="AK23" s="427"/>
      <c r="AL23" s="88"/>
      <c r="AM23" s="88"/>
      <c r="AN23" s="88"/>
      <c r="AO23" s="88"/>
      <c r="AP23" s="426"/>
      <c r="AQ23" s="87"/>
      <c r="AR23" s="88"/>
      <c r="AS23" s="88"/>
      <c r="AT23" s="88"/>
      <c r="AU23" s="88"/>
      <c r="AV23" s="428"/>
      <c r="AW23" s="428"/>
      <c r="AX23" s="428"/>
      <c r="AY23" s="428"/>
      <c r="AZ23" s="428"/>
      <c r="BA23" s="88"/>
      <c r="BB23" s="88"/>
      <c r="BC23" s="88"/>
      <c r="BD23" s="88"/>
      <c r="BE23" s="426"/>
      <c r="BF23" s="87"/>
      <c r="BG23" s="88"/>
      <c r="BH23" s="88"/>
      <c r="BI23" s="88"/>
      <c r="BJ23" s="88"/>
      <c r="BK23" s="429"/>
      <c r="BL23" s="429"/>
      <c r="BM23" s="429"/>
      <c r="BN23" s="429"/>
      <c r="BO23" s="429"/>
      <c r="BP23" s="88"/>
      <c r="BQ23" s="88"/>
      <c r="BR23" s="88"/>
      <c r="BS23" s="88"/>
      <c r="BT23" s="426"/>
      <c r="BU23" s="257"/>
      <c r="BV23" s="362"/>
    </row>
    <row r="24" customFormat="false" ht="22.5" hidden="false" customHeight="true" outlineLevel="0" collapsed="false">
      <c r="B24" s="420" t="n">
        <v>3.2</v>
      </c>
      <c r="C24" s="147" t="s">
        <v>645</v>
      </c>
      <c r="D24" s="127" t="s">
        <v>646</v>
      </c>
      <c r="E24" s="139" t="n">
        <v>20</v>
      </c>
      <c r="F24" s="140" t="n">
        <v>0</v>
      </c>
      <c r="G24" s="141" t="n">
        <f aca="false">E24-F24</f>
        <v>20</v>
      </c>
      <c r="H24" s="166" t="n">
        <v>4</v>
      </c>
      <c r="I24" s="421"/>
      <c r="J24" s="422"/>
      <c r="K24" s="143" t="n">
        <f aca="false">J24-I24+1</f>
        <v>1</v>
      </c>
      <c r="L24" s="423" t="n">
        <f aca="false">IFERROR(F24/E24,"")</f>
        <v>0</v>
      </c>
      <c r="M24" s="87"/>
      <c r="N24" s="88"/>
      <c r="O24" s="88"/>
      <c r="P24" s="88"/>
      <c r="Q24" s="88"/>
      <c r="R24" s="425"/>
      <c r="S24" s="425"/>
      <c r="T24" s="425"/>
      <c r="U24" s="425"/>
      <c r="V24" s="425"/>
      <c r="W24" s="88"/>
      <c r="X24" s="88"/>
      <c r="Y24" s="88"/>
      <c r="Z24" s="88"/>
      <c r="AA24" s="426"/>
      <c r="AB24" s="87"/>
      <c r="AC24" s="88"/>
      <c r="AD24" s="88"/>
      <c r="AE24" s="88"/>
      <c r="AF24" s="88"/>
      <c r="AG24" s="427"/>
      <c r="AH24" s="427"/>
      <c r="AI24" s="427"/>
      <c r="AJ24" s="427"/>
      <c r="AK24" s="427"/>
      <c r="AL24" s="88"/>
      <c r="AM24" s="88"/>
      <c r="AN24" s="88"/>
      <c r="AO24" s="88"/>
      <c r="AP24" s="426"/>
      <c r="AQ24" s="87"/>
      <c r="AR24" s="88"/>
      <c r="AS24" s="88"/>
      <c r="AT24" s="88"/>
      <c r="AU24" s="88"/>
      <c r="AV24" s="428"/>
      <c r="AW24" s="428"/>
      <c r="AX24" s="428"/>
      <c r="AY24" s="428"/>
      <c r="AZ24" s="428"/>
      <c r="BA24" s="88"/>
      <c r="BB24" s="88"/>
      <c r="BC24" s="88"/>
      <c r="BD24" s="88"/>
      <c r="BE24" s="426"/>
      <c r="BF24" s="87"/>
      <c r="BG24" s="88"/>
      <c r="BH24" s="88"/>
      <c r="BI24" s="88"/>
      <c r="BJ24" s="88"/>
      <c r="BK24" s="429"/>
      <c r="BL24" s="429"/>
      <c r="BM24" s="429"/>
      <c r="BN24" s="429"/>
      <c r="BO24" s="429"/>
      <c r="BP24" s="88"/>
      <c r="BQ24" s="88"/>
      <c r="BR24" s="88"/>
      <c r="BS24" s="88"/>
      <c r="BT24" s="426"/>
      <c r="BU24" s="257"/>
      <c r="BV24" s="362"/>
    </row>
    <row r="25" customFormat="false" ht="22.5" hidden="false" customHeight="true" outlineLevel="0" collapsed="false">
      <c r="B25" s="420" t="s">
        <v>647</v>
      </c>
      <c r="C25" s="147" t="s">
        <v>648</v>
      </c>
      <c r="D25" s="127" t="s">
        <v>649</v>
      </c>
      <c r="E25" s="139" t="n">
        <v>8</v>
      </c>
      <c r="F25" s="140" t="n">
        <v>0</v>
      </c>
      <c r="G25" s="141" t="n">
        <f aca="false">E25-F25</f>
        <v>8</v>
      </c>
      <c r="H25" s="166" t="n">
        <v>4</v>
      </c>
      <c r="I25" s="421"/>
      <c r="J25" s="422"/>
      <c r="K25" s="143" t="n">
        <f aca="false">J25-I25+1</f>
        <v>1</v>
      </c>
      <c r="L25" s="423" t="n">
        <f aca="false">IFERROR(F25/E25,"")</f>
        <v>0</v>
      </c>
      <c r="M25" s="87"/>
      <c r="N25" s="88"/>
      <c r="O25" s="88"/>
      <c r="P25" s="88"/>
      <c r="Q25" s="88"/>
      <c r="R25" s="425"/>
      <c r="S25" s="425"/>
      <c r="T25" s="425"/>
      <c r="U25" s="425"/>
      <c r="V25" s="425"/>
      <c r="W25" s="88"/>
      <c r="X25" s="88"/>
      <c r="Y25" s="88"/>
      <c r="Z25" s="88"/>
      <c r="AA25" s="426"/>
      <c r="AB25" s="87"/>
      <c r="AC25" s="88"/>
      <c r="AD25" s="88"/>
      <c r="AE25" s="88"/>
      <c r="AF25" s="88"/>
      <c r="AG25" s="427"/>
      <c r="AH25" s="427"/>
      <c r="AI25" s="427"/>
      <c r="AJ25" s="427"/>
      <c r="AK25" s="427"/>
      <c r="AL25" s="88"/>
      <c r="AM25" s="88"/>
      <c r="AN25" s="88"/>
      <c r="AO25" s="88"/>
      <c r="AP25" s="426"/>
      <c r="AQ25" s="87"/>
      <c r="AR25" s="88"/>
      <c r="AS25" s="88"/>
      <c r="AT25" s="88"/>
      <c r="AU25" s="88"/>
      <c r="AV25" s="428"/>
      <c r="AW25" s="428"/>
      <c r="AX25" s="428"/>
      <c r="AY25" s="428"/>
      <c r="AZ25" s="428"/>
      <c r="BA25" s="88"/>
      <c r="BB25" s="88"/>
      <c r="BC25" s="88"/>
      <c r="BD25" s="88"/>
      <c r="BE25" s="426"/>
      <c r="BF25" s="87"/>
      <c r="BG25" s="88"/>
      <c r="BH25" s="88"/>
      <c r="BI25" s="88"/>
      <c r="BJ25" s="88"/>
      <c r="BK25" s="429"/>
      <c r="BL25" s="429"/>
      <c r="BM25" s="429"/>
      <c r="BN25" s="429"/>
      <c r="BO25" s="429"/>
      <c r="BP25" s="88"/>
      <c r="BQ25" s="88"/>
      <c r="BR25" s="88"/>
      <c r="BS25" s="88"/>
      <c r="BT25" s="426"/>
      <c r="BU25" s="257"/>
      <c r="BV25" s="362"/>
    </row>
    <row r="26" customFormat="false" ht="22.5" hidden="false" customHeight="true" outlineLevel="0" collapsed="false">
      <c r="B26" s="420" t="s">
        <v>650</v>
      </c>
      <c r="C26" s="147" t="s">
        <v>651</v>
      </c>
      <c r="D26" s="127" t="s">
        <v>652</v>
      </c>
      <c r="E26" s="139" t="n">
        <v>12</v>
      </c>
      <c r="F26" s="140" t="n">
        <v>0</v>
      </c>
      <c r="G26" s="141" t="n">
        <f aca="false">E26-F26</f>
        <v>12</v>
      </c>
      <c r="H26" s="166" t="n">
        <v>4</v>
      </c>
      <c r="I26" s="421"/>
      <c r="J26" s="422"/>
      <c r="K26" s="143" t="n">
        <f aca="false">J26-I26+1</f>
        <v>1</v>
      </c>
      <c r="L26" s="423" t="n">
        <f aca="false">IFERROR(F26/E26,"")</f>
        <v>0</v>
      </c>
      <c r="M26" s="87"/>
      <c r="N26" s="88"/>
      <c r="O26" s="88"/>
      <c r="P26" s="88"/>
      <c r="Q26" s="88"/>
      <c r="R26" s="425"/>
      <c r="S26" s="425"/>
      <c r="T26" s="425"/>
      <c r="U26" s="425"/>
      <c r="V26" s="425"/>
      <c r="W26" s="88"/>
      <c r="X26" s="88"/>
      <c r="Y26" s="88"/>
      <c r="Z26" s="88"/>
      <c r="AA26" s="426"/>
      <c r="AB26" s="87"/>
      <c r="AC26" s="88"/>
      <c r="AD26" s="88"/>
      <c r="AE26" s="88"/>
      <c r="AF26" s="88"/>
      <c r="AG26" s="427"/>
      <c r="AH26" s="427"/>
      <c r="AI26" s="427"/>
      <c r="AJ26" s="427"/>
      <c r="AK26" s="427"/>
      <c r="AL26" s="88"/>
      <c r="AM26" s="88"/>
      <c r="AN26" s="88"/>
      <c r="AO26" s="88"/>
      <c r="AP26" s="426"/>
      <c r="AQ26" s="87"/>
      <c r="AR26" s="88"/>
      <c r="AS26" s="88"/>
      <c r="AT26" s="88"/>
      <c r="AU26" s="88"/>
      <c r="AV26" s="428"/>
      <c r="AW26" s="428"/>
      <c r="AX26" s="428"/>
      <c r="AY26" s="428"/>
      <c r="AZ26" s="428"/>
      <c r="BA26" s="88"/>
      <c r="BB26" s="88"/>
      <c r="BC26" s="88"/>
      <c r="BD26" s="88"/>
      <c r="BE26" s="426"/>
      <c r="BF26" s="87"/>
      <c r="BG26" s="88"/>
      <c r="BH26" s="88"/>
      <c r="BI26" s="88"/>
      <c r="BJ26" s="88"/>
      <c r="BK26" s="429"/>
      <c r="BL26" s="429"/>
      <c r="BM26" s="429"/>
      <c r="BN26" s="429"/>
      <c r="BO26" s="429"/>
      <c r="BP26" s="88"/>
      <c r="BQ26" s="88"/>
      <c r="BR26" s="88"/>
      <c r="BS26" s="88"/>
      <c r="BT26" s="426"/>
      <c r="BU26" s="257"/>
      <c r="BV26" s="362"/>
    </row>
    <row r="27" customFormat="false" ht="22.5" hidden="false" customHeight="true" outlineLevel="0" collapsed="false">
      <c r="B27" s="420" t="n">
        <v>3.3</v>
      </c>
      <c r="C27" s="147" t="s">
        <v>653</v>
      </c>
      <c r="D27" s="127" t="s">
        <v>654</v>
      </c>
      <c r="E27" s="139" t="n">
        <v>4</v>
      </c>
      <c r="F27" s="140" t="n">
        <v>0</v>
      </c>
      <c r="G27" s="141" t="n">
        <f aca="false">E27-F27</f>
        <v>4</v>
      </c>
      <c r="H27" s="166" t="n">
        <v>5</v>
      </c>
      <c r="I27" s="421"/>
      <c r="J27" s="422"/>
      <c r="K27" s="143" t="n">
        <f aca="false">J27-I27+1</f>
        <v>1</v>
      </c>
      <c r="L27" s="423" t="n">
        <f aca="false">IFERROR(F27/E27,"")</f>
        <v>0</v>
      </c>
      <c r="M27" s="87"/>
      <c r="N27" s="88"/>
      <c r="O27" s="88"/>
      <c r="P27" s="88"/>
      <c r="Q27" s="88"/>
      <c r="R27" s="425"/>
      <c r="S27" s="425"/>
      <c r="T27" s="425"/>
      <c r="U27" s="425"/>
      <c r="V27" s="425"/>
      <c r="W27" s="88"/>
      <c r="X27" s="88"/>
      <c r="Y27" s="88"/>
      <c r="Z27" s="88"/>
      <c r="AA27" s="426"/>
      <c r="AB27" s="87"/>
      <c r="AC27" s="88"/>
      <c r="AD27" s="88"/>
      <c r="AE27" s="88"/>
      <c r="AF27" s="88"/>
      <c r="AG27" s="427"/>
      <c r="AH27" s="427"/>
      <c r="AI27" s="427"/>
      <c r="AJ27" s="427"/>
      <c r="AK27" s="427"/>
      <c r="AL27" s="88"/>
      <c r="AM27" s="88"/>
      <c r="AN27" s="88"/>
      <c r="AO27" s="88"/>
      <c r="AP27" s="426"/>
      <c r="AQ27" s="87"/>
      <c r="AR27" s="88"/>
      <c r="AS27" s="88"/>
      <c r="AT27" s="88"/>
      <c r="AU27" s="88"/>
      <c r="AV27" s="428"/>
      <c r="AW27" s="428"/>
      <c r="AX27" s="428"/>
      <c r="AY27" s="428"/>
      <c r="AZ27" s="428"/>
      <c r="BA27" s="88"/>
      <c r="BB27" s="88"/>
      <c r="BC27" s="88"/>
      <c r="BD27" s="88"/>
      <c r="BE27" s="426"/>
      <c r="BF27" s="87"/>
      <c r="BG27" s="88"/>
      <c r="BH27" s="88"/>
      <c r="BI27" s="88"/>
      <c r="BJ27" s="88"/>
      <c r="BK27" s="429"/>
      <c r="BL27" s="429"/>
      <c r="BM27" s="429"/>
      <c r="BN27" s="429"/>
      <c r="BO27" s="429"/>
      <c r="BP27" s="88"/>
      <c r="BQ27" s="88"/>
      <c r="BR27" s="88"/>
      <c r="BS27" s="88"/>
      <c r="BT27" s="426"/>
      <c r="BU27" s="257"/>
      <c r="BV27" s="362"/>
    </row>
    <row r="28" customFormat="false" ht="22.5" hidden="false" customHeight="true" outlineLevel="0" collapsed="false">
      <c r="B28" s="420" t="s">
        <v>655</v>
      </c>
      <c r="C28" s="147" t="s">
        <v>656</v>
      </c>
      <c r="D28" s="127" t="s">
        <v>657</v>
      </c>
      <c r="E28" s="139" t="n">
        <v>2</v>
      </c>
      <c r="F28" s="140" t="n">
        <v>0</v>
      </c>
      <c r="G28" s="141" t="n">
        <f aca="false">E28-F28</f>
        <v>2</v>
      </c>
      <c r="H28" s="166" t="n">
        <v>5</v>
      </c>
      <c r="I28" s="421"/>
      <c r="J28" s="422"/>
      <c r="K28" s="143" t="n">
        <f aca="false">J28-I28+1</f>
        <v>1</v>
      </c>
      <c r="L28" s="423" t="n">
        <f aca="false">IFERROR(F28/E28,"")</f>
        <v>0</v>
      </c>
      <c r="M28" s="87"/>
      <c r="N28" s="88"/>
      <c r="O28" s="88"/>
      <c r="P28" s="88"/>
      <c r="Q28" s="88"/>
      <c r="R28" s="425"/>
      <c r="S28" s="425"/>
      <c r="T28" s="425"/>
      <c r="U28" s="425"/>
      <c r="V28" s="425"/>
      <c r="W28" s="88"/>
      <c r="X28" s="88"/>
      <c r="Y28" s="88"/>
      <c r="Z28" s="88"/>
      <c r="AA28" s="426"/>
      <c r="AB28" s="87"/>
      <c r="AC28" s="88"/>
      <c r="AD28" s="88"/>
      <c r="AE28" s="88"/>
      <c r="AF28" s="88"/>
      <c r="AG28" s="427"/>
      <c r="AH28" s="427"/>
      <c r="AI28" s="427"/>
      <c r="AJ28" s="427"/>
      <c r="AK28" s="427"/>
      <c r="AL28" s="88"/>
      <c r="AM28" s="88"/>
      <c r="AN28" s="88"/>
      <c r="AO28" s="88"/>
      <c r="AP28" s="426"/>
      <c r="AQ28" s="87"/>
      <c r="AR28" s="88"/>
      <c r="AS28" s="88"/>
      <c r="AT28" s="88"/>
      <c r="AU28" s="88"/>
      <c r="AV28" s="428"/>
      <c r="AW28" s="428"/>
      <c r="AX28" s="428"/>
      <c r="AY28" s="428"/>
      <c r="AZ28" s="428"/>
      <c r="BA28" s="88"/>
      <c r="BB28" s="88"/>
      <c r="BC28" s="88"/>
      <c r="BD28" s="88"/>
      <c r="BE28" s="426"/>
      <c r="BF28" s="87"/>
      <c r="BG28" s="88"/>
      <c r="BH28" s="88"/>
      <c r="BI28" s="88"/>
      <c r="BJ28" s="88"/>
      <c r="BK28" s="429"/>
      <c r="BL28" s="429"/>
      <c r="BM28" s="429"/>
      <c r="BN28" s="429"/>
      <c r="BO28" s="429"/>
      <c r="BP28" s="88"/>
      <c r="BQ28" s="88"/>
      <c r="BR28" s="88"/>
      <c r="BS28" s="88"/>
      <c r="BT28" s="426"/>
      <c r="BU28" s="257"/>
      <c r="BV28" s="362"/>
    </row>
    <row r="29" customFormat="false" ht="22.5" hidden="false" customHeight="true" outlineLevel="0" collapsed="false">
      <c r="B29" s="420" t="n">
        <v>4</v>
      </c>
      <c r="C29" s="431" t="s">
        <v>658</v>
      </c>
      <c r="D29" s="432"/>
      <c r="E29" s="412" t="n">
        <f aca="false">SUM(E30:E33)</f>
        <v>32</v>
      </c>
      <c r="F29" s="413" t="n">
        <f aca="false">SUM(F30:F33)</f>
        <v>0</v>
      </c>
      <c r="G29" s="414" t="n">
        <f aca="false">SUM(G30:G33)</f>
        <v>32</v>
      </c>
      <c r="H29" s="433"/>
      <c r="I29" s="434"/>
      <c r="J29" s="435"/>
      <c r="K29" s="436"/>
      <c r="L29" s="418" t="n">
        <f aca="false">IFERROR(F29/E29,"")</f>
        <v>0</v>
      </c>
      <c r="M29" s="68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419"/>
      <c r="AB29" s="68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419"/>
      <c r="AQ29" s="6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419"/>
      <c r="BF29" s="68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419"/>
      <c r="BU29" s="257"/>
      <c r="BV29" s="362"/>
    </row>
    <row r="30" customFormat="false" ht="22.5" hidden="false" customHeight="true" outlineLevel="0" collapsed="false">
      <c r="B30" s="420" t="n">
        <v>4.1</v>
      </c>
      <c r="C30" s="147" t="s">
        <v>659</v>
      </c>
      <c r="D30" s="127" t="s">
        <v>660</v>
      </c>
      <c r="E30" s="139" t="n">
        <v>8</v>
      </c>
      <c r="F30" s="140" t="n">
        <v>0</v>
      </c>
      <c r="G30" s="141" t="n">
        <f aca="false">E30-F30</f>
        <v>8</v>
      </c>
      <c r="H30" s="166" t="n">
        <v>5</v>
      </c>
      <c r="I30" s="421"/>
      <c r="J30" s="422"/>
      <c r="K30" s="143" t="n">
        <f aca="false">J30-I30+1</f>
        <v>1</v>
      </c>
      <c r="L30" s="423" t="n">
        <f aca="false">IFERROR(F30/E30,"")</f>
        <v>0</v>
      </c>
      <c r="M30" s="87"/>
      <c r="N30" s="88"/>
      <c r="O30" s="88"/>
      <c r="P30" s="88"/>
      <c r="Q30" s="88"/>
      <c r="R30" s="425"/>
      <c r="S30" s="425"/>
      <c r="T30" s="425"/>
      <c r="U30" s="425"/>
      <c r="V30" s="425"/>
      <c r="W30" s="88"/>
      <c r="X30" s="88"/>
      <c r="Y30" s="88"/>
      <c r="Z30" s="88"/>
      <c r="AA30" s="426"/>
      <c r="AB30" s="87"/>
      <c r="AC30" s="88"/>
      <c r="AD30" s="88"/>
      <c r="AE30" s="88"/>
      <c r="AF30" s="88"/>
      <c r="AG30" s="427"/>
      <c r="AH30" s="427"/>
      <c r="AI30" s="427"/>
      <c r="AJ30" s="427"/>
      <c r="AK30" s="427"/>
      <c r="AL30" s="88"/>
      <c r="AM30" s="88"/>
      <c r="AN30" s="88"/>
      <c r="AO30" s="88"/>
      <c r="AP30" s="426"/>
      <c r="AQ30" s="87"/>
      <c r="AR30" s="88"/>
      <c r="AS30" s="88"/>
      <c r="AT30" s="88"/>
      <c r="AU30" s="88"/>
      <c r="AV30" s="428"/>
      <c r="AW30" s="428"/>
      <c r="AX30" s="428"/>
      <c r="AY30" s="428"/>
      <c r="AZ30" s="428"/>
      <c r="BA30" s="88"/>
      <c r="BB30" s="88"/>
      <c r="BC30" s="88"/>
      <c r="BD30" s="88"/>
      <c r="BE30" s="426"/>
      <c r="BF30" s="87"/>
      <c r="BG30" s="88"/>
      <c r="BH30" s="88"/>
      <c r="BI30" s="88"/>
      <c r="BJ30" s="88"/>
      <c r="BK30" s="429"/>
      <c r="BL30" s="429"/>
      <c r="BM30" s="429"/>
      <c r="BN30" s="429"/>
      <c r="BO30" s="429"/>
      <c r="BP30" s="88"/>
      <c r="BQ30" s="88"/>
      <c r="BR30" s="88"/>
      <c r="BS30" s="88"/>
      <c r="BT30" s="426"/>
      <c r="BU30" s="257"/>
      <c r="BV30" s="362"/>
    </row>
    <row r="31" customFormat="false" ht="22.5" hidden="false" customHeight="true" outlineLevel="0" collapsed="false">
      <c r="B31" s="420" t="n">
        <v>4.2</v>
      </c>
      <c r="C31" s="147" t="s">
        <v>661</v>
      </c>
      <c r="D31" s="127" t="s">
        <v>662</v>
      </c>
      <c r="E31" s="139" t="n">
        <v>12</v>
      </c>
      <c r="F31" s="140" t="n">
        <v>0</v>
      </c>
      <c r="G31" s="141" t="n">
        <f aca="false">E31-F31</f>
        <v>12</v>
      </c>
      <c r="H31" s="166" t="n">
        <v>5</v>
      </c>
      <c r="I31" s="421"/>
      <c r="J31" s="422"/>
      <c r="K31" s="143" t="n">
        <f aca="false">J31-I31+1</f>
        <v>1</v>
      </c>
      <c r="L31" s="423" t="n">
        <f aca="false">IFERROR(F31/E31,"")</f>
        <v>0</v>
      </c>
      <c r="M31" s="87"/>
      <c r="N31" s="88"/>
      <c r="O31" s="88"/>
      <c r="P31" s="88"/>
      <c r="Q31" s="88"/>
      <c r="R31" s="425"/>
      <c r="S31" s="425"/>
      <c r="T31" s="425"/>
      <c r="U31" s="425"/>
      <c r="V31" s="425"/>
      <c r="W31" s="88"/>
      <c r="X31" s="88"/>
      <c r="Y31" s="88"/>
      <c r="Z31" s="88"/>
      <c r="AA31" s="426"/>
      <c r="AB31" s="87"/>
      <c r="AC31" s="88"/>
      <c r="AD31" s="88"/>
      <c r="AE31" s="88"/>
      <c r="AF31" s="88"/>
      <c r="AG31" s="427"/>
      <c r="AH31" s="427"/>
      <c r="AI31" s="427"/>
      <c r="AJ31" s="427"/>
      <c r="AK31" s="427"/>
      <c r="AL31" s="88"/>
      <c r="AM31" s="88"/>
      <c r="AN31" s="88"/>
      <c r="AO31" s="88"/>
      <c r="AP31" s="426"/>
      <c r="AQ31" s="87"/>
      <c r="AR31" s="88"/>
      <c r="AS31" s="88"/>
      <c r="AT31" s="88"/>
      <c r="AU31" s="88"/>
      <c r="AV31" s="428"/>
      <c r="AW31" s="428"/>
      <c r="AX31" s="428"/>
      <c r="AY31" s="428"/>
      <c r="AZ31" s="428"/>
      <c r="BA31" s="88"/>
      <c r="BB31" s="88"/>
      <c r="BC31" s="88"/>
      <c r="BD31" s="88"/>
      <c r="BE31" s="426"/>
      <c r="BF31" s="87"/>
      <c r="BG31" s="88"/>
      <c r="BH31" s="88"/>
      <c r="BI31" s="88"/>
      <c r="BJ31" s="88"/>
      <c r="BK31" s="429"/>
      <c r="BL31" s="429"/>
      <c r="BM31" s="429"/>
      <c r="BN31" s="429"/>
      <c r="BO31" s="429"/>
      <c r="BP31" s="88"/>
      <c r="BQ31" s="88"/>
      <c r="BR31" s="88"/>
      <c r="BS31" s="88"/>
      <c r="BT31" s="426"/>
      <c r="BU31" s="257"/>
      <c r="BV31" s="362"/>
    </row>
    <row r="32" customFormat="false" ht="22.5" hidden="false" customHeight="true" outlineLevel="0" collapsed="false">
      <c r="B32" s="420" t="n">
        <v>4.3</v>
      </c>
      <c r="C32" s="147" t="s">
        <v>663</v>
      </c>
      <c r="D32" s="232" t="s">
        <v>664</v>
      </c>
      <c r="E32" s="139" t="n">
        <v>8</v>
      </c>
      <c r="F32" s="140" t="n">
        <v>0</v>
      </c>
      <c r="G32" s="141" t="n">
        <f aca="false">E32-F32</f>
        <v>8</v>
      </c>
      <c r="H32" s="166" t="n">
        <v>5</v>
      </c>
      <c r="I32" s="421"/>
      <c r="J32" s="422"/>
      <c r="K32" s="143" t="n">
        <f aca="false">J32-I32+1</f>
        <v>1</v>
      </c>
      <c r="L32" s="423" t="n">
        <f aca="false">IFERROR(F32/E32,"")</f>
        <v>0</v>
      </c>
      <c r="M32" s="87"/>
      <c r="N32" s="88"/>
      <c r="O32" s="88"/>
      <c r="P32" s="88"/>
      <c r="Q32" s="88"/>
      <c r="R32" s="425"/>
      <c r="S32" s="425"/>
      <c r="T32" s="425"/>
      <c r="U32" s="425"/>
      <c r="V32" s="425"/>
      <c r="W32" s="88"/>
      <c r="X32" s="88"/>
      <c r="Y32" s="88"/>
      <c r="Z32" s="88"/>
      <c r="AA32" s="426"/>
      <c r="AB32" s="87"/>
      <c r="AC32" s="88"/>
      <c r="AD32" s="88"/>
      <c r="AE32" s="88"/>
      <c r="AF32" s="88"/>
      <c r="AG32" s="427"/>
      <c r="AH32" s="427"/>
      <c r="AI32" s="427"/>
      <c r="AJ32" s="427"/>
      <c r="AK32" s="427"/>
      <c r="AL32" s="88"/>
      <c r="AM32" s="88"/>
      <c r="AN32" s="88"/>
      <c r="AO32" s="88"/>
      <c r="AP32" s="426"/>
      <c r="AQ32" s="87"/>
      <c r="AR32" s="88"/>
      <c r="AS32" s="88"/>
      <c r="AT32" s="88"/>
      <c r="AU32" s="88"/>
      <c r="AV32" s="428"/>
      <c r="AW32" s="428"/>
      <c r="AX32" s="428"/>
      <c r="AY32" s="428"/>
      <c r="AZ32" s="428"/>
      <c r="BA32" s="88"/>
      <c r="BB32" s="88"/>
      <c r="BC32" s="88"/>
      <c r="BD32" s="88"/>
      <c r="BE32" s="426"/>
      <c r="BF32" s="87"/>
      <c r="BG32" s="88"/>
      <c r="BH32" s="88"/>
      <c r="BI32" s="88"/>
      <c r="BJ32" s="88"/>
      <c r="BK32" s="429"/>
      <c r="BL32" s="429"/>
      <c r="BM32" s="429"/>
      <c r="BN32" s="429"/>
      <c r="BO32" s="429"/>
      <c r="BP32" s="88"/>
      <c r="BQ32" s="88"/>
      <c r="BR32" s="88"/>
      <c r="BS32" s="88"/>
      <c r="BT32" s="426"/>
      <c r="BU32" s="257"/>
      <c r="BV32" s="362"/>
    </row>
    <row r="33" customFormat="false" ht="22.5" hidden="false" customHeight="true" outlineLevel="0" collapsed="false">
      <c r="B33" s="439" t="s">
        <v>665</v>
      </c>
      <c r="C33" s="440" t="s">
        <v>666</v>
      </c>
      <c r="D33" s="441" t="s">
        <v>667</v>
      </c>
      <c r="E33" s="442" t="n">
        <v>4</v>
      </c>
      <c r="F33" s="443" t="n">
        <v>0</v>
      </c>
      <c r="G33" s="444" t="n">
        <f aca="false">E33-F33</f>
        <v>4</v>
      </c>
      <c r="H33" s="445" t="n">
        <v>5</v>
      </c>
      <c r="I33" s="446"/>
      <c r="J33" s="447"/>
      <c r="K33" s="448" t="n">
        <f aca="false">J33-I33+1</f>
        <v>1</v>
      </c>
      <c r="L33" s="449" t="n">
        <f aca="false">IFERROR(F33/E33,"")</f>
        <v>0</v>
      </c>
      <c r="M33" s="450"/>
      <c r="N33" s="451"/>
      <c r="O33" s="451"/>
      <c r="P33" s="451"/>
      <c r="Q33" s="451"/>
      <c r="R33" s="452"/>
      <c r="S33" s="452"/>
      <c r="T33" s="452"/>
      <c r="U33" s="452"/>
      <c r="V33" s="452"/>
      <c r="W33" s="451"/>
      <c r="X33" s="451"/>
      <c r="Y33" s="451"/>
      <c r="Z33" s="451"/>
      <c r="AA33" s="453"/>
      <c r="AB33" s="450"/>
      <c r="AC33" s="451"/>
      <c r="AD33" s="451"/>
      <c r="AE33" s="451"/>
      <c r="AF33" s="451"/>
      <c r="AG33" s="454"/>
      <c r="AH33" s="454"/>
      <c r="AI33" s="454"/>
      <c r="AJ33" s="454"/>
      <c r="AK33" s="454"/>
      <c r="AL33" s="451"/>
      <c r="AM33" s="451"/>
      <c r="AN33" s="451"/>
      <c r="AO33" s="451"/>
      <c r="AP33" s="453"/>
      <c r="AQ33" s="450"/>
      <c r="AR33" s="451"/>
      <c r="AS33" s="451"/>
      <c r="AT33" s="451"/>
      <c r="AU33" s="451"/>
      <c r="AV33" s="455"/>
      <c r="AW33" s="455"/>
      <c r="AX33" s="455"/>
      <c r="AY33" s="455"/>
      <c r="AZ33" s="455"/>
      <c r="BA33" s="451"/>
      <c r="BB33" s="451"/>
      <c r="BC33" s="451"/>
      <c r="BD33" s="451"/>
      <c r="BE33" s="453"/>
      <c r="BF33" s="450"/>
      <c r="BG33" s="451"/>
      <c r="BH33" s="451"/>
      <c r="BI33" s="451"/>
      <c r="BJ33" s="451"/>
      <c r="BK33" s="456"/>
      <c r="BL33" s="456"/>
      <c r="BM33" s="456"/>
      <c r="BN33" s="456"/>
      <c r="BO33" s="456"/>
      <c r="BP33" s="451"/>
      <c r="BQ33" s="451"/>
      <c r="BR33" s="451"/>
      <c r="BS33" s="451"/>
      <c r="BT33" s="453"/>
      <c r="BU33" s="257"/>
      <c r="BV33" s="362"/>
    </row>
    <row r="34" customFormat="false" ht="22.5" hidden="false" customHeight="true" outlineLevel="0" collapsed="false">
      <c r="B34" s="257"/>
      <c r="C34" s="257"/>
      <c r="D34" s="257"/>
      <c r="E34" s="258" t="s">
        <v>609</v>
      </c>
      <c r="F34" s="258" t="s">
        <v>610</v>
      </c>
      <c r="G34" s="258" t="s">
        <v>611</v>
      </c>
      <c r="H34" s="258" t="s">
        <v>668</v>
      </c>
      <c r="I34" s="258" t="s">
        <v>669</v>
      </c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57"/>
      <c r="BH34" s="257"/>
      <c r="BI34" s="257"/>
      <c r="BJ34" s="257"/>
      <c r="BK34" s="257"/>
      <c r="BL34" s="257"/>
      <c r="BM34" s="257"/>
      <c r="BN34" s="257"/>
      <c r="BO34" s="257"/>
      <c r="BP34" s="257"/>
      <c r="BQ34" s="257"/>
      <c r="BR34" s="257"/>
      <c r="BS34" s="257"/>
      <c r="BT34" s="257"/>
      <c r="BU34" s="257"/>
      <c r="BV34" s="362"/>
    </row>
    <row r="35" customFormat="false" ht="22.5" hidden="false" customHeight="true" outlineLevel="0" collapsed="false">
      <c r="B35" s="257"/>
      <c r="C35" s="259" t="s">
        <v>491</v>
      </c>
      <c r="D35" s="260" t="s">
        <v>670</v>
      </c>
      <c r="E35" s="261" t="n">
        <f aca="false">SUM(E10:E16,E18:E21,E23:E28,E30:E33)</f>
        <v>617</v>
      </c>
      <c r="F35" s="261" t="n">
        <f aca="false">SUM(F10:F16,F18:F21,F23:F28,F30:F33)</f>
        <v>419</v>
      </c>
      <c r="G35" s="261" t="n">
        <f aca="false">SUM(G10:G16,G18:G21,G23:G28,G30:G33)</f>
        <v>198</v>
      </c>
      <c r="H35" s="457" t="n">
        <v>60</v>
      </c>
      <c r="I35" s="263" t="n">
        <f aca="false">E35/H35</f>
        <v>10.2833333333333</v>
      </c>
      <c r="J35" s="257"/>
      <c r="K35" s="257"/>
      <c r="L35" s="458" t="s">
        <v>671</v>
      </c>
      <c r="M35" s="459" t="n">
        <v>1</v>
      </c>
      <c r="N35" s="459" t="n">
        <v>2</v>
      </c>
      <c r="O35" s="459" t="n">
        <v>3</v>
      </c>
      <c r="P35" s="459" t="n">
        <v>4</v>
      </c>
      <c r="Q35" s="459" t="n">
        <v>5</v>
      </c>
      <c r="R35" s="459" t="n">
        <v>6</v>
      </c>
      <c r="S35" s="459" t="n">
        <v>7</v>
      </c>
      <c r="T35" s="459" t="n">
        <v>8</v>
      </c>
      <c r="U35" s="459" t="n">
        <v>9</v>
      </c>
      <c r="V35" s="459" t="n">
        <v>10</v>
      </c>
      <c r="W35" s="459" t="n">
        <v>11</v>
      </c>
      <c r="X35" s="459" t="n">
        <v>12</v>
      </c>
      <c r="Y35" s="459" t="n">
        <v>13</v>
      </c>
      <c r="Z35" s="459" t="n">
        <v>14</v>
      </c>
      <c r="AA35" s="459" t="n">
        <v>15</v>
      </c>
      <c r="AB35" s="459" t="n">
        <v>16</v>
      </c>
      <c r="AC35" s="459" t="n">
        <v>17</v>
      </c>
      <c r="AD35" s="459" t="n">
        <v>18</v>
      </c>
      <c r="AE35" s="459" t="n">
        <v>19</v>
      </c>
      <c r="AF35" s="459" t="n">
        <v>20</v>
      </c>
      <c r="AG35" s="459" t="n">
        <v>21</v>
      </c>
      <c r="AH35" s="459" t="n">
        <v>22</v>
      </c>
      <c r="AI35" s="459" t="n">
        <v>23</v>
      </c>
      <c r="AJ35" s="459" t="n">
        <v>24</v>
      </c>
      <c r="AK35" s="459" t="n">
        <v>25</v>
      </c>
      <c r="AL35" s="459" t="n">
        <v>26</v>
      </c>
      <c r="AM35" s="459" t="n">
        <v>27</v>
      </c>
      <c r="AN35" s="459" t="n">
        <v>28</v>
      </c>
      <c r="AO35" s="459" t="n">
        <v>29</v>
      </c>
      <c r="AP35" s="459" t="n">
        <v>30</v>
      </c>
      <c r="AQ35" s="459" t="n">
        <v>31</v>
      </c>
      <c r="AR35" s="459" t="n">
        <v>32</v>
      </c>
      <c r="AS35" s="459" t="n">
        <v>33</v>
      </c>
      <c r="AT35" s="459" t="n">
        <v>34</v>
      </c>
      <c r="AU35" s="459" t="n">
        <v>35</v>
      </c>
      <c r="AV35" s="459" t="n">
        <v>36</v>
      </c>
      <c r="AW35" s="459" t="n">
        <v>37</v>
      </c>
      <c r="AX35" s="459" t="n">
        <v>38</v>
      </c>
      <c r="AY35" s="459" t="n">
        <v>39</v>
      </c>
      <c r="AZ35" s="459" t="n">
        <v>40</v>
      </c>
      <c r="BA35" s="459" t="n">
        <v>41</v>
      </c>
      <c r="BB35" s="459" t="n">
        <v>42</v>
      </c>
      <c r="BC35" s="459" t="n">
        <v>43</v>
      </c>
      <c r="BD35" s="459" t="n">
        <v>44</v>
      </c>
      <c r="BE35" s="459" t="n">
        <v>45</v>
      </c>
      <c r="BF35" s="459" t="n">
        <v>46</v>
      </c>
      <c r="BG35" s="459" t="n">
        <v>47</v>
      </c>
      <c r="BH35" s="459" t="n">
        <v>48</v>
      </c>
      <c r="BI35" s="459" t="n">
        <v>49</v>
      </c>
      <c r="BJ35" s="459" t="n">
        <v>50</v>
      </c>
      <c r="BK35" s="459" t="n">
        <v>51</v>
      </c>
      <c r="BL35" s="459" t="n">
        <v>52</v>
      </c>
      <c r="BM35" s="459" t="n">
        <v>53</v>
      </c>
      <c r="BN35" s="459" t="n">
        <v>54</v>
      </c>
      <c r="BO35" s="459" t="n">
        <v>55</v>
      </c>
      <c r="BP35" s="459" t="n">
        <v>56</v>
      </c>
      <c r="BQ35" s="459" t="n">
        <v>57</v>
      </c>
      <c r="BR35" s="459" t="n">
        <v>58</v>
      </c>
      <c r="BS35" s="459" t="n">
        <v>59</v>
      </c>
      <c r="BT35" s="459" t="n">
        <v>60</v>
      </c>
      <c r="BU35" s="257"/>
      <c r="BV35" s="460" t="s">
        <v>582</v>
      </c>
    </row>
    <row r="36" customFormat="false" ht="22.5" hidden="false" customHeight="true" outlineLevel="0" collapsed="false">
      <c r="B36" s="257"/>
      <c r="C36" s="257"/>
      <c r="D36" s="257"/>
      <c r="E36" s="257"/>
      <c r="F36" s="257"/>
      <c r="G36" s="257"/>
      <c r="H36" s="461" t="s">
        <v>672</v>
      </c>
      <c r="I36" s="257"/>
      <c r="J36" s="257"/>
      <c r="K36" s="257"/>
      <c r="L36" s="458" t="s">
        <v>673</v>
      </c>
      <c r="M36" s="462" t="n">
        <f aca="false">E35</f>
        <v>617</v>
      </c>
      <c r="N36" s="463" t="n">
        <f aca="false">M36-I35</f>
        <v>606.716666666667</v>
      </c>
      <c r="O36" s="463" t="n">
        <f aca="false">N36-I35</f>
        <v>596.433333333333</v>
      </c>
      <c r="P36" s="463" t="n">
        <f aca="false">O36-I35</f>
        <v>586.15</v>
      </c>
      <c r="Q36" s="463" t="n">
        <f aca="false">P36-I35</f>
        <v>575.866666666667</v>
      </c>
      <c r="R36" s="463" t="n">
        <f aca="false">Q36-I35</f>
        <v>565.583333333334</v>
      </c>
      <c r="S36" s="463" t="n">
        <f aca="false">R36-I35</f>
        <v>555.3</v>
      </c>
      <c r="T36" s="463" t="n">
        <f aca="false">S36-I35</f>
        <v>545.016666666667</v>
      </c>
      <c r="U36" s="463" t="n">
        <f aca="false">T36-I35</f>
        <v>534.733333333334</v>
      </c>
      <c r="V36" s="463" t="n">
        <f aca="false">U36-I35</f>
        <v>524.45</v>
      </c>
      <c r="W36" s="463" t="n">
        <f aca="false">V36-I35</f>
        <v>514.166666666667</v>
      </c>
      <c r="X36" s="463" t="n">
        <f aca="false">W36-I35</f>
        <v>503.883333333334</v>
      </c>
      <c r="Y36" s="463" t="n">
        <f aca="false">X36-I35</f>
        <v>493.6</v>
      </c>
      <c r="Z36" s="463" t="n">
        <f aca="false">Y36-I35</f>
        <v>483.316666666667</v>
      </c>
      <c r="AA36" s="463" t="n">
        <f aca="false">Z36-I35</f>
        <v>473.033333333334</v>
      </c>
      <c r="AB36" s="463" t="n">
        <f aca="false">AA36-I35</f>
        <v>462.75</v>
      </c>
      <c r="AC36" s="463" t="n">
        <f aca="false">AB36-I35</f>
        <v>452.466666666667</v>
      </c>
      <c r="AD36" s="463" t="n">
        <f aca="false">AC36-I35</f>
        <v>442.183333333333</v>
      </c>
      <c r="AE36" s="463" t="n">
        <f aca="false">AD36-I35</f>
        <v>431.9</v>
      </c>
      <c r="AF36" s="463" t="n">
        <f aca="false">AE36-I35</f>
        <v>421.616666666667</v>
      </c>
      <c r="AG36" s="463" t="n">
        <f aca="false">AF36-I35</f>
        <v>411.333333333333</v>
      </c>
      <c r="AH36" s="463" t="n">
        <f aca="false">AG36-I35</f>
        <v>401.05</v>
      </c>
      <c r="AI36" s="463" t="n">
        <f aca="false">AH36-I35</f>
        <v>390.766666666667</v>
      </c>
      <c r="AJ36" s="463" t="n">
        <f aca="false">AI36-I35</f>
        <v>380.483333333333</v>
      </c>
      <c r="AK36" s="463" t="n">
        <f aca="false">AJ36-I35</f>
        <v>370.2</v>
      </c>
      <c r="AL36" s="463" t="n">
        <f aca="false">AK36-I35</f>
        <v>359.916666666667</v>
      </c>
      <c r="AM36" s="463" t="n">
        <f aca="false">AL36-I35</f>
        <v>349.633333333333</v>
      </c>
      <c r="AN36" s="463" t="n">
        <f aca="false">AM36-I35</f>
        <v>339.35</v>
      </c>
      <c r="AO36" s="463" t="n">
        <f aca="false">AN36-I35</f>
        <v>329.066666666667</v>
      </c>
      <c r="AP36" s="463" t="n">
        <f aca="false">AO36-I35</f>
        <v>318.783333333333</v>
      </c>
      <c r="AQ36" s="463" t="n">
        <f aca="false">AP36-I35</f>
        <v>308.5</v>
      </c>
      <c r="AR36" s="463" t="n">
        <f aca="false">AQ36-I35</f>
        <v>298.216666666666</v>
      </c>
      <c r="AS36" s="463" t="n">
        <f aca="false">AR36-I35</f>
        <v>287.933333333333</v>
      </c>
      <c r="AT36" s="463" t="n">
        <f aca="false">AS36-I35</f>
        <v>277.65</v>
      </c>
      <c r="AU36" s="463" t="n">
        <f aca="false">AT36-I35</f>
        <v>267.366666666666</v>
      </c>
      <c r="AV36" s="463" t="n">
        <f aca="false">AU36-I35</f>
        <v>257.083333333333</v>
      </c>
      <c r="AW36" s="463" t="n">
        <f aca="false">AV36-I35</f>
        <v>246.8</v>
      </c>
      <c r="AX36" s="463" t="n">
        <f aca="false">AW36-I35</f>
        <v>236.516666666666</v>
      </c>
      <c r="AY36" s="463" t="n">
        <f aca="false">AX36-I35</f>
        <v>226.233333333333</v>
      </c>
      <c r="AZ36" s="463" t="n">
        <f aca="false">AY36-I35</f>
        <v>215.95</v>
      </c>
      <c r="BA36" s="463" t="n">
        <f aca="false">AZ36-I35</f>
        <v>205.666666666666</v>
      </c>
      <c r="BB36" s="463" t="n">
        <f aca="false">BA36-I35</f>
        <v>195.383333333333</v>
      </c>
      <c r="BC36" s="463" t="n">
        <f aca="false">BB36-I35</f>
        <v>185.1</v>
      </c>
      <c r="BD36" s="463" t="n">
        <f aca="false">BC36-I35</f>
        <v>174.816666666666</v>
      </c>
      <c r="BE36" s="463" t="n">
        <f aca="false">BD36-I35</f>
        <v>164.533333333333</v>
      </c>
      <c r="BF36" s="463" t="n">
        <f aca="false">BE36-I35</f>
        <v>154.25</v>
      </c>
      <c r="BG36" s="463" t="n">
        <f aca="false">BF36-I35</f>
        <v>143.966666666666</v>
      </c>
      <c r="BH36" s="463" t="n">
        <f aca="false">BG36-I35</f>
        <v>133.683333333333</v>
      </c>
      <c r="BI36" s="463" t="n">
        <f aca="false">BH36-I35</f>
        <v>123.4</v>
      </c>
      <c r="BJ36" s="463" t="n">
        <f aca="false">BI36-I35</f>
        <v>113.116666666666</v>
      </c>
      <c r="BK36" s="463" t="n">
        <f aca="false">BJ36-I35</f>
        <v>102.833333333333</v>
      </c>
      <c r="BL36" s="463" t="n">
        <f aca="false">BK36-I35</f>
        <v>92.5499999999997</v>
      </c>
      <c r="BM36" s="463" t="n">
        <f aca="false">BL36-I35</f>
        <v>82.2666666666663</v>
      </c>
      <c r="BN36" s="463" t="n">
        <f aca="false">BM36-I35</f>
        <v>71.983333333333</v>
      </c>
      <c r="BO36" s="463" t="n">
        <f aca="false">BN36-I35</f>
        <v>61.6999999999997</v>
      </c>
      <c r="BP36" s="463" t="n">
        <f aca="false">BO36-I35</f>
        <v>51.4166666666663</v>
      </c>
      <c r="BQ36" s="463" t="n">
        <f aca="false">BP36-I35</f>
        <v>41.133333333333</v>
      </c>
      <c r="BR36" s="463" t="n">
        <f aca="false">BQ36-I35</f>
        <v>30.8499999999997</v>
      </c>
      <c r="BS36" s="463" t="n">
        <f aca="false">BR36-I35</f>
        <v>20.5666666666664</v>
      </c>
      <c r="BT36" s="463" t="n">
        <f aca="false">BS36-I35</f>
        <v>10.283333333333</v>
      </c>
      <c r="BU36" s="257"/>
      <c r="BV36" s="464" t="s">
        <v>674</v>
      </c>
    </row>
    <row r="37" customFormat="false" ht="22.5" hidden="false" customHeight="true" outlineLevel="0" collapsed="false"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458" t="s">
        <v>609</v>
      </c>
      <c r="M37" s="462" t="n">
        <f aca="false">E35</f>
        <v>617</v>
      </c>
      <c r="N37" s="462" t="n">
        <f aca="false">M39</f>
        <v>609</v>
      </c>
      <c r="O37" s="462" t="n">
        <f aca="false">N39</f>
        <v>589</v>
      </c>
      <c r="P37" s="462" t="n">
        <f aca="false">O39</f>
        <v>559</v>
      </c>
      <c r="Q37" s="462" t="n">
        <f aca="false">P39</f>
        <v>519</v>
      </c>
      <c r="R37" s="462" t="n">
        <f aca="false">Q39</f>
        <v>499</v>
      </c>
      <c r="S37" s="462" t="n">
        <f aca="false">R39</f>
        <v>488</v>
      </c>
      <c r="T37" s="462" t="n">
        <f aca="false">S39</f>
        <v>472</v>
      </c>
      <c r="U37" s="462" t="n">
        <f aca="false">T39</f>
        <v>430</v>
      </c>
      <c r="V37" s="462" t="n">
        <f aca="false">U39</f>
        <v>385</v>
      </c>
      <c r="W37" s="462" t="n">
        <f aca="false">V39</f>
        <v>365</v>
      </c>
      <c r="X37" s="462" t="n">
        <f aca="false">W39</f>
        <v>355</v>
      </c>
      <c r="Y37" s="462" t="n">
        <f aca="false">X39</f>
        <v>339</v>
      </c>
      <c r="Z37" s="462" t="n">
        <f aca="false">Y39</f>
        <v>315</v>
      </c>
      <c r="AA37" s="462" t="n">
        <f aca="false">Z39</f>
        <v>267</v>
      </c>
      <c r="AB37" s="462" t="n">
        <f aca="false">AA39</f>
        <v>247</v>
      </c>
      <c r="AC37" s="462" t="n">
        <f aca="false">AB39</f>
        <v>243</v>
      </c>
      <c r="AD37" s="462" t="n">
        <f aca="false">AC39</f>
        <v>238</v>
      </c>
      <c r="AE37" s="462" t="n">
        <f aca="false">AD39</f>
        <v>234</v>
      </c>
      <c r="AF37" s="462" t="n">
        <f aca="false">AE39</f>
        <v>226</v>
      </c>
      <c r="AG37" s="462" t="n">
        <f aca="false">AF39</f>
        <v>218</v>
      </c>
      <c r="AH37" s="462" t="n">
        <f aca="false">AG39</f>
        <v>213</v>
      </c>
      <c r="AI37" s="462" t="n">
        <f aca="false">AH39</f>
        <v>208</v>
      </c>
      <c r="AJ37" s="462" t="n">
        <f aca="false">AI39</f>
        <v>203</v>
      </c>
      <c r="AK37" s="462" t="n">
        <f aca="false">AJ39</f>
        <v>200</v>
      </c>
      <c r="AL37" s="462" t="n">
        <f aca="false">AK39</f>
        <v>198</v>
      </c>
      <c r="AM37" s="462" t="n">
        <f aca="false">AL39</f>
        <v>198</v>
      </c>
      <c r="AN37" s="462" t="n">
        <f aca="false">AM39</f>
        <v>198</v>
      </c>
      <c r="AO37" s="462" t="n">
        <f aca="false">AN39</f>
        <v>198</v>
      </c>
      <c r="AP37" s="462" t="n">
        <f aca="false">AO39</f>
        <v>198</v>
      </c>
      <c r="AQ37" s="462" t="n">
        <f aca="false">AP39</f>
        <v>198</v>
      </c>
      <c r="AR37" s="462" t="n">
        <f aca="false">AQ39</f>
        <v>198</v>
      </c>
      <c r="AS37" s="462" t="n">
        <f aca="false">AR39</f>
        <v>198</v>
      </c>
      <c r="AT37" s="462" t="n">
        <f aca="false">AS39</f>
        <v>198</v>
      </c>
      <c r="AU37" s="462" t="n">
        <f aca="false">AT39</f>
        <v>198</v>
      </c>
      <c r="AV37" s="462" t="n">
        <f aca="false">AU39</f>
        <v>198</v>
      </c>
      <c r="AW37" s="462" t="n">
        <f aca="false">AV39</f>
        <v>198</v>
      </c>
      <c r="AX37" s="462" t="n">
        <f aca="false">AW39</f>
        <v>198</v>
      </c>
      <c r="AY37" s="462" t="n">
        <f aca="false">AX39</f>
        <v>198</v>
      </c>
      <c r="AZ37" s="462" t="n">
        <f aca="false">AY39</f>
        <v>198</v>
      </c>
      <c r="BA37" s="462" t="n">
        <f aca="false">AZ39</f>
        <v>198</v>
      </c>
      <c r="BB37" s="462" t="n">
        <f aca="false">BA39</f>
        <v>198</v>
      </c>
      <c r="BC37" s="462" t="n">
        <f aca="false">BB39</f>
        <v>198</v>
      </c>
      <c r="BD37" s="462" t="n">
        <f aca="false">BC39</f>
        <v>198</v>
      </c>
      <c r="BE37" s="462" t="n">
        <f aca="false">BD39</f>
        <v>198</v>
      </c>
      <c r="BF37" s="462" t="n">
        <f aca="false">BE39</f>
        <v>198</v>
      </c>
      <c r="BG37" s="462" t="n">
        <f aca="false">BF39</f>
        <v>198</v>
      </c>
      <c r="BH37" s="462" t="n">
        <f aca="false">BG39</f>
        <v>198</v>
      </c>
      <c r="BI37" s="462" t="n">
        <f aca="false">BH39</f>
        <v>198</v>
      </c>
      <c r="BJ37" s="462" t="n">
        <f aca="false">BI39</f>
        <v>198</v>
      </c>
      <c r="BK37" s="462" t="n">
        <f aca="false">BJ39</f>
        <v>198</v>
      </c>
      <c r="BL37" s="462" t="n">
        <f aca="false">BK39</f>
        <v>198</v>
      </c>
      <c r="BM37" s="462" t="n">
        <f aca="false">BL39</f>
        <v>198</v>
      </c>
      <c r="BN37" s="462" t="n">
        <f aca="false">BM39</f>
        <v>198</v>
      </c>
      <c r="BO37" s="462" t="n">
        <f aca="false">BN39</f>
        <v>198</v>
      </c>
      <c r="BP37" s="462" t="n">
        <f aca="false">BO39</f>
        <v>198</v>
      </c>
      <c r="BQ37" s="462" t="n">
        <f aca="false">BP39</f>
        <v>198</v>
      </c>
      <c r="BR37" s="462" t="n">
        <f aca="false">BQ39</f>
        <v>198</v>
      </c>
      <c r="BS37" s="462" t="n">
        <f aca="false">BR39</f>
        <v>198</v>
      </c>
      <c r="BT37" s="462" t="n">
        <f aca="false">BS39</f>
        <v>198</v>
      </c>
      <c r="BU37" s="257"/>
      <c r="BV37" s="465" t="n">
        <f aca="false">SUM(M37:BT37)</f>
        <v>15968</v>
      </c>
    </row>
    <row r="38" customFormat="false" ht="22.5" hidden="false" customHeight="true" outlineLevel="0" collapsed="false">
      <c r="B38" s="257"/>
      <c r="C38" s="257"/>
      <c r="D38" s="257"/>
      <c r="E38" s="257"/>
      <c r="F38" s="257"/>
      <c r="G38" s="257"/>
      <c r="H38" s="257"/>
      <c r="I38" s="257"/>
      <c r="J38" s="257"/>
      <c r="K38" s="466" t="s">
        <v>675</v>
      </c>
      <c r="L38" s="458" t="s">
        <v>676</v>
      </c>
      <c r="M38" s="467" t="n">
        <v>8</v>
      </c>
      <c r="N38" s="467" t="n">
        <v>20</v>
      </c>
      <c r="O38" s="467" t="n">
        <v>30</v>
      </c>
      <c r="P38" s="467" t="n">
        <v>40</v>
      </c>
      <c r="Q38" s="467" t="n">
        <v>20</v>
      </c>
      <c r="R38" s="467" t="n">
        <v>11</v>
      </c>
      <c r="S38" s="467" t="n">
        <v>16</v>
      </c>
      <c r="T38" s="467" t="n">
        <v>42</v>
      </c>
      <c r="U38" s="467" t="n">
        <v>45</v>
      </c>
      <c r="V38" s="467" t="n">
        <v>20</v>
      </c>
      <c r="W38" s="467" t="n">
        <v>10</v>
      </c>
      <c r="X38" s="467" t="n">
        <v>16</v>
      </c>
      <c r="Y38" s="467" t="n">
        <v>24</v>
      </c>
      <c r="Z38" s="467" t="n">
        <v>48</v>
      </c>
      <c r="AA38" s="467" t="n">
        <v>20</v>
      </c>
      <c r="AB38" s="467" t="n">
        <v>4</v>
      </c>
      <c r="AC38" s="467" t="n">
        <v>5</v>
      </c>
      <c r="AD38" s="467" t="n">
        <v>4</v>
      </c>
      <c r="AE38" s="467" t="n">
        <v>8</v>
      </c>
      <c r="AF38" s="467" t="n">
        <v>8</v>
      </c>
      <c r="AG38" s="467" t="n">
        <v>5</v>
      </c>
      <c r="AH38" s="467" t="n">
        <v>5</v>
      </c>
      <c r="AI38" s="467" t="n">
        <v>5</v>
      </c>
      <c r="AJ38" s="467" t="n">
        <v>3</v>
      </c>
      <c r="AK38" s="467" t="n">
        <v>2</v>
      </c>
      <c r="AL38" s="467"/>
      <c r="AM38" s="467"/>
      <c r="AN38" s="467"/>
      <c r="AO38" s="467"/>
      <c r="AP38" s="467"/>
      <c r="AQ38" s="467"/>
      <c r="AR38" s="467"/>
      <c r="AS38" s="467"/>
      <c r="AT38" s="467"/>
      <c r="AU38" s="467"/>
      <c r="AV38" s="467"/>
      <c r="AW38" s="467"/>
      <c r="AX38" s="467"/>
      <c r="AY38" s="467"/>
      <c r="AZ38" s="467"/>
      <c r="BA38" s="467"/>
      <c r="BB38" s="467"/>
      <c r="BC38" s="467"/>
      <c r="BD38" s="467"/>
      <c r="BE38" s="467"/>
      <c r="BF38" s="467"/>
      <c r="BG38" s="467"/>
      <c r="BH38" s="467"/>
      <c r="BI38" s="467"/>
      <c r="BJ38" s="467"/>
      <c r="BK38" s="467"/>
      <c r="BL38" s="467"/>
      <c r="BM38" s="467"/>
      <c r="BN38" s="467"/>
      <c r="BO38" s="467"/>
      <c r="BP38" s="467"/>
      <c r="BQ38" s="467"/>
      <c r="BR38" s="467"/>
      <c r="BS38" s="467"/>
      <c r="BT38" s="467"/>
      <c r="BU38" s="257"/>
      <c r="BV38" s="468" t="n">
        <f aca="false">SUM(M38:BT38)</f>
        <v>419</v>
      </c>
    </row>
    <row r="39" customFormat="false" ht="22.5" hidden="false" customHeight="true" outlineLevel="0" collapsed="false">
      <c r="B39" s="257"/>
      <c r="C39" s="257"/>
      <c r="D39" s="257"/>
      <c r="E39" s="257"/>
      <c r="F39" s="257"/>
      <c r="G39" s="257"/>
      <c r="H39" s="257"/>
      <c r="I39" s="257"/>
      <c r="J39" s="257"/>
      <c r="K39" s="257"/>
      <c r="L39" s="458" t="s">
        <v>677</v>
      </c>
      <c r="M39" s="462" t="n">
        <f aca="false">M37-M38</f>
        <v>609</v>
      </c>
      <c r="N39" s="462" t="n">
        <f aca="false">N37-N38</f>
        <v>589</v>
      </c>
      <c r="O39" s="462" t="n">
        <f aca="false">O37-O38</f>
        <v>559</v>
      </c>
      <c r="P39" s="462" t="n">
        <f aca="false">P37-P38</f>
        <v>519</v>
      </c>
      <c r="Q39" s="462" t="n">
        <f aca="false">Q37-Q38</f>
        <v>499</v>
      </c>
      <c r="R39" s="462" t="n">
        <f aca="false">R37-R38</f>
        <v>488</v>
      </c>
      <c r="S39" s="462" t="n">
        <f aca="false">S37-S38</f>
        <v>472</v>
      </c>
      <c r="T39" s="462" t="n">
        <f aca="false">T37-T38</f>
        <v>430</v>
      </c>
      <c r="U39" s="462" t="n">
        <f aca="false">U37-U38</f>
        <v>385</v>
      </c>
      <c r="V39" s="462" t="n">
        <f aca="false">V37-V38</f>
        <v>365</v>
      </c>
      <c r="W39" s="462" t="n">
        <f aca="false">W37-W38</f>
        <v>355</v>
      </c>
      <c r="X39" s="462" t="n">
        <f aca="false">X37-X38</f>
        <v>339</v>
      </c>
      <c r="Y39" s="462" t="n">
        <f aca="false">Y37-Y38</f>
        <v>315</v>
      </c>
      <c r="Z39" s="462" t="n">
        <f aca="false">Z37-Z38</f>
        <v>267</v>
      </c>
      <c r="AA39" s="462" t="n">
        <f aca="false">AA37-AA38</f>
        <v>247</v>
      </c>
      <c r="AB39" s="462" t="n">
        <f aca="false">AB37-AB38</f>
        <v>243</v>
      </c>
      <c r="AC39" s="462" t="n">
        <f aca="false">AC37-AC38</f>
        <v>238</v>
      </c>
      <c r="AD39" s="462" t="n">
        <f aca="false">AD37-AD38</f>
        <v>234</v>
      </c>
      <c r="AE39" s="462" t="n">
        <f aca="false">AE37-AE38</f>
        <v>226</v>
      </c>
      <c r="AF39" s="462" t="n">
        <f aca="false">AF37-AF38</f>
        <v>218</v>
      </c>
      <c r="AG39" s="462" t="n">
        <f aca="false">AG37-AG38</f>
        <v>213</v>
      </c>
      <c r="AH39" s="462" t="n">
        <f aca="false">AH37-AH38</f>
        <v>208</v>
      </c>
      <c r="AI39" s="462" t="n">
        <f aca="false">AI37-AI38</f>
        <v>203</v>
      </c>
      <c r="AJ39" s="462" t="n">
        <f aca="false">AJ37-AJ38</f>
        <v>200</v>
      </c>
      <c r="AK39" s="462" t="n">
        <f aca="false">AK37-AK38</f>
        <v>198</v>
      </c>
      <c r="AL39" s="462" t="n">
        <f aca="false">AL37-AL38</f>
        <v>198</v>
      </c>
      <c r="AM39" s="462" t="n">
        <f aca="false">AM37-AM38</f>
        <v>198</v>
      </c>
      <c r="AN39" s="462" t="n">
        <f aca="false">AN37-AN38</f>
        <v>198</v>
      </c>
      <c r="AO39" s="462" t="n">
        <f aca="false">AO37-AO38</f>
        <v>198</v>
      </c>
      <c r="AP39" s="462" t="n">
        <f aca="false">AP37-AP38</f>
        <v>198</v>
      </c>
      <c r="AQ39" s="462" t="n">
        <f aca="false">AQ37-AQ38</f>
        <v>198</v>
      </c>
      <c r="AR39" s="462" t="n">
        <f aca="false">AR37-AR38</f>
        <v>198</v>
      </c>
      <c r="AS39" s="462" t="n">
        <f aca="false">AS37-AS38</f>
        <v>198</v>
      </c>
      <c r="AT39" s="462" t="n">
        <f aca="false">AT37-AT38</f>
        <v>198</v>
      </c>
      <c r="AU39" s="462" t="n">
        <f aca="false">AU37-AU38</f>
        <v>198</v>
      </c>
      <c r="AV39" s="462" t="n">
        <f aca="false">AV37-AV38</f>
        <v>198</v>
      </c>
      <c r="AW39" s="462" t="n">
        <f aca="false">AW37-AW38</f>
        <v>198</v>
      </c>
      <c r="AX39" s="462" t="n">
        <f aca="false">AX37-AX38</f>
        <v>198</v>
      </c>
      <c r="AY39" s="462" t="n">
        <f aca="false">AY37-AY38</f>
        <v>198</v>
      </c>
      <c r="AZ39" s="462" t="n">
        <f aca="false">AZ37-AZ38</f>
        <v>198</v>
      </c>
      <c r="BA39" s="462" t="n">
        <f aca="false">BA37-BA38</f>
        <v>198</v>
      </c>
      <c r="BB39" s="462" t="n">
        <f aca="false">BB37-BB38</f>
        <v>198</v>
      </c>
      <c r="BC39" s="462" t="n">
        <f aca="false">BC37-BC38</f>
        <v>198</v>
      </c>
      <c r="BD39" s="462" t="n">
        <f aca="false">BD37-BD38</f>
        <v>198</v>
      </c>
      <c r="BE39" s="462" t="n">
        <f aca="false">BE37-BE38</f>
        <v>198</v>
      </c>
      <c r="BF39" s="462" t="n">
        <f aca="false">BF37-BF38</f>
        <v>198</v>
      </c>
      <c r="BG39" s="462" t="n">
        <f aca="false">BG37-BG38</f>
        <v>198</v>
      </c>
      <c r="BH39" s="462" t="n">
        <f aca="false">BH37-BH38</f>
        <v>198</v>
      </c>
      <c r="BI39" s="462" t="n">
        <f aca="false">BI37-BI38</f>
        <v>198</v>
      </c>
      <c r="BJ39" s="462" t="n">
        <f aca="false">BJ37-BJ38</f>
        <v>198</v>
      </c>
      <c r="BK39" s="462" t="n">
        <f aca="false">BK37-BK38</f>
        <v>198</v>
      </c>
      <c r="BL39" s="462" t="n">
        <f aca="false">BL37-BL38</f>
        <v>198</v>
      </c>
      <c r="BM39" s="462" t="n">
        <f aca="false">BM37-BM38</f>
        <v>198</v>
      </c>
      <c r="BN39" s="462" t="n">
        <f aca="false">BN37-BN38</f>
        <v>198</v>
      </c>
      <c r="BO39" s="462" t="n">
        <f aca="false">BO37-BO38</f>
        <v>198</v>
      </c>
      <c r="BP39" s="462" t="n">
        <f aca="false">BP37-BP38</f>
        <v>198</v>
      </c>
      <c r="BQ39" s="462" t="n">
        <f aca="false">BQ37-BQ38</f>
        <v>198</v>
      </c>
      <c r="BR39" s="462" t="n">
        <f aca="false">BR37-BR38</f>
        <v>198</v>
      </c>
      <c r="BS39" s="462" t="n">
        <f aca="false">BS37-BS38</f>
        <v>198</v>
      </c>
      <c r="BT39" s="462" t="n">
        <f aca="false">BT37-BT38</f>
        <v>198</v>
      </c>
      <c r="BU39" s="257"/>
      <c r="BV39" s="468" t="n">
        <f aca="false">SUM(M39:BT39)</f>
        <v>15549</v>
      </c>
    </row>
    <row r="40" customFormat="false" ht="15.75" hidden="false" customHeight="true" outlineLevel="0" collapsed="false">
      <c r="C40" s="259" t="s">
        <v>678</v>
      </c>
      <c r="BV40" s="2"/>
    </row>
    <row r="41" customFormat="false" ht="381.75" hidden="false" customHeight="true" outlineLevel="0" collapsed="false">
      <c r="BV41" s="2"/>
    </row>
    <row r="42" customFormat="false" ht="216.75" hidden="false" customHeight="true" outlineLevel="0" collapsed="false">
      <c r="BV42" s="2"/>
    </row>
    <row r="43" customFormat="false" ht="15.75" hidden="false" customHeight="true" outlineLevel="0" collapsed="false">
      <c r="BV43" s="2"/>
    </row>
    <row r="44" customFormat="false" ht="49.5" hidden="false" customHeight="true" outlineLevel="0" collapsed="false">
      <c r="B44" s="469" t="s">
        <v>679</v>
      </c>
      <c r="C44" s="469"/>
      <c r="D44" s="469"/>
      <c r="E44" s="469"/>
      <c r="F44" s="469"/>
      <c r="G44" s="469"/>
      <c r="H44" s="469"/>
      <c r="I44" s="469"/>
      <c r="J44" s="469"/>
      <c r="K44" s="469"/>
      <c r="L44" s="469"/>
      <c r="M44" s="469"/>
      <c r="N44" s="469"/>
      <c r="O44" s="469"/>
      <c r="P44" s="469"/>
      <c r="Q44" s="469"/>
      <c r="R44" s="469"/>
      <c r="S44" s="469"/>
      <c r="T44" s="469"/>
      <c r="U44" s="469"/>
      <c r="V44" s="469"/>
      <c r="W44" s="469"/>
      <c r="X44" s="469"/>
      <c r="Y44" s="469"/>
      <c r="Z44" s="469"/>
      <c r="AA44" s="469"/>
      <c r="AB44" s="469"/>
      <c r="AC44" s="469"/>
      <c r="AD44" s="469"/>
      <c r="AE44" s="469"/>
      <c r="AF44" s="469"/>
      <c r="AG44" s="469"/>
      <c r="AH44" s="469"/>
      <c r="AI44" s="469"/>
    </row>
    <row r="45" customFormat="false" ht="15.75" hidden="false" customHeight="true" outlineLevel="0" collapsed="false">
      <c r="BV45" s="2"/>
    </row>
    <row r="46" customFormat="false" ht="15.75" hidden="false" customHeight="true" outlineLevel="0" collapsed="false">
      <c r="BV46" s="2"/>
    </row>
    <row r="47" customFormat="false" ht="15.75" hidden="false" customHeight="true" outlineLevel="0" collapsed="false">
      <c r="BV47" s="2"/>
    </row>
    <row r="48" customFormat="false" ht="15.75" hidden="false" customHeight="true" outlineLevel="0" collapsed="false">
      <c r="BV48" s="2"/>
    </row>
    <row r="49" customFormat="false" ht="15.75" hidden="false" customHeight="true" outlineLevel="0" collapsed="false">
      <c r="BV49" s="2"/>
    </row>
    <row r="50" customFormat="false" ht="15.75" hidden="false" customHeight="true" outlineLevel="0" collapsed="false">
      <c r="BV50" s="2"/>
    </row>
    <row r="51" customFormat="false" ht="15.75" hidden="false" customHeight="true" outlineLevel="0" collapsed="false">
      <c r="BV51" s="2"/>
    </row>
    <row r="52" customFormat="false" ht="15.75" hidden="false" customHeight="true" outlineLevel="0" collapsed="false">
      <c r="BV52" s="2"/>
    </row>
    <row r="53" customFormat="false" ht="15.75" hidden="false" customHeight="true" outlineLevel="0" collapsed="false">
      <c r="BV53" s="2"/>
    </row>
    <row r="54" customFormat="false" ht="15.75" hidden="false" customHeight="true" outlineLevel="0" collapsed="false">
      <c r="BV54" s="2"/>
    </row>
    <row r="55" customFormat="false" ht="15.75" hidden="false" customHeight="true" outlineLevel="0" collapsed="false">
      <c r="BV55" s="2"/>
    </row>
    <row r="56" customFormat="false" ht="15.75" hidden="false" customHeight="true" outlineLevel="0" collapsed="false">
      <c r="BV56" s="2"/>
    </row>
    <row r="57" customFormat="false" ht="15.75" hidden="false" customHeight="true" outlineLevel="0" collapsed="false">
      <c r="BV57" s="2"/>
    </row>
    <row r="58" customFormat="false" ht="15.75" hidden="false" customHeight="true" outlineLevel="0" collapsed="false">
      <c r="BV58" s="2"/>
    </row>
    <row r="59" customFormat="false" ht="15.75" hidden="false" customHeight="true" outlineLevel="0" collapsed="false">
      <c r="BV59" s="2"/>
    </row>
    <row r="60" customFormat="false" ht="15.75" hidden="false" customHeight="true" outlineLevel="0" collapsed="false">
      <c r="BV60" s="2"/>
    </row>
    <row r="61" customFormat="false" ht="15.75" hidden="false" customHeight="true" outlineLevel="0" collapsed="false">
      <c r="BV61" s="2"/>
    </row>
    <row r="62" customFormat="false" ht="15.75" hidden="false" customHeight="true" outlineLevel="0" collapsed="false">
      <c r="BV62" s="2"/>
    </row>
    <row r="63" customFormat="false" ht="15.75" hidden="false" customHeight="true" outlineLevel="0" collapsed="false">
      <c r="BV63" s="2"/>
    </row>
    <row r="64" customFormat="false" ht="15.75" hidden="false" customHeight="true" outlineLevel="0" collapsed="false">
      <c r="BV64" s="2"/>
    </row>
    <row r="65" customFormat="false" ht="15.75" hidden="false" customHeight="true" outlineLevel="0" collapsed="false">
      <c r="BV65" s="2"/>
    </row>
    <row r="66" customFormat="false" ht="15.75" hidden="false" customHeight="true" outlineLevel="0" collapsed="false">
      <c r="BV66" s="2"/>
    </row>
    <row r="67" customFormat="false" ht="15.75" hidden="false" customHeight="true" outlineLevel="0" collapsed="false">
      <c r="BV67" s="2"/>
    </row>
    <row r="68" customFormat="false" ht="15.75" hidden="false" customHeight="true" outlineLevel="0" collapsed="false">
      <c r="BV68" s="2"/>
    </row>
    <row r="69" customFormat="false" ht="15.75" hidden="false" customHeight="true" outlineLevel="0" collapsed="false">
      <c r="BV69" s="2"/>
    </row>
    <row r="70" customFormat="false" ht="15.75" hidden="false" customHeight="true" outlineLevel="0" collapsed="false">
      <c r="BV70" s="2"/>
    </row>
    <row r="71" customFormat="false" ht="15.75" hidden="false" customHeight="true" outlineLevel="0" collapsed="false">
      <c r="BV71" s="2"/>
    </row>
    <row r="72" customFormat="false" ht="15.75" hidden="false" customHeight="true" outlineLevel="0" collapsed="false">
      <c r="BV72" s="2"/>
    </row>
    <row r="73" customFormat="false" ht="15.75" hidden="false" customHeight="true" outlineLevel="0" collapsed="false">
      <c r="BV73" s="2"/>
    </row>
    <row r="74" customFormat="false" ht="15.75" hidden="false" customHeight="true" outlineLevel="0" collapsed="false">
      <c r="BV74" s="2"/>
    </row>
    <row r="75" customFormat="false" ht="15.75" hidden="false" customHeight="true" outlineLevel="0" collapsed="false">
      <c r="BV75" s="2"/>
    </row>
    <row r="76" customFormat="false" ht="15.75" hidden="false" customHeight="true" outlineLevel="0" collapsed="false">
      <c r="BV76" s="2"/>
    </row>
    <row r="77" customFormat="false" ht="15.75" hidden="false" customHeight="true" outlineLevel="0" collapsed="false">
      <c r="BV77" s="2"/>
    </row>
    <row r="78" customFormat="false" ht="15.75" hidden="false" customHeight="true" outlineLevel="0" collapsed="false">
      <c r="BV78" s="2"/>
    </row>
    <row r="79" customFormat="false" ht="15.75" hidden="false" customHeight="true" outlineLevel="0" collapsed="false">
      <c r="BV79" s="2"/>
    </row>
    <row r="80" customFormat="false" ht="15.75" hidden="false" customHeight="true" outlineLevel="0" collapsed="false">
      <c r="BV80" s="2"/>
    </row>
    <row r="81" customFormat="false" ht="15.75" hidden="false" customHeight="true" outlineLevel="0" collapsed="false">
      <c r="BV81" s="2"/>
    </row>
    <row r="82" customFormat="false" ht="15.75" hidden="false" customHeight="true" outlineLevel="0" collapsed="false">
      <c r="BV82" s="2"/>
    </row>
    <row r="83" customFormat="false" ht="15.75" hidden="false" customHeight="true" outlineLevel="0" collapsed="false">
      <c r="BV83" s="2"/>
    </row>
    <row r="84" customFormat="false" ht="15.75" hidden="false" customHeight="true" outlineLevel="0" collapsed="false">
      <c r="BV84" s="2"/>
    </row>
    <row r="85" customFormat="false" ht="15.75" hidden="false" customHeight="true" outlineLevel="0" collapsed="false">
      <c r="BV85" s="2"/>
    </row>
    <row r="86" customFormat="false" ht="15.75" hidden="false" customHeight="true" outlineLevel="0" collapsed="false">
      <c r="BV86" s="2"/>
    </row>
    <row r="87" customFormat="false" ht="15.75" hidden="false" customHeight="true" outlineLevel="0" collapsed="false">
      <c r="BV87" s="2"/>
    </row>
    <row r="88" customFormat="false" ht="15.75" hidden="false" customHeight="true" outlineLevel="0" collapsed="false">
      <c r="BV88" s="2"/>
    </row>
    <row r="89" customFormat="false" ht="15.75" hidden="false" customHeight="true" outlineLevel="0" collapsed="false">
      <c r="BV89" s="2"/>
    </row>
    <row r="90" customFormat="false" ht="15.75" hidden="false" customHeight="true" outlineLevel="0" collapsed="false">
      <c r="BV90" s="2"/>
    </row>
    <row r="91" customFormat="false" ht="15.75" hidden="false" customHeight="true" outlineLevel="0" collapsed="false">
      <c r="BV91" s="2"/>
    </row>
    <row r="92" customFormat="false" ht="15.75" hidden="false" customHeight="true" outlineLevel="0" collapsed="false">
      <c r="BV92" s="2"/>
    </row>
    <row r="93" customFormat="false" ht="15.75" hidden="false" customHeight="true" outlineLevel="0" collapsed="false">
      <c r="BV93" s="2"/>
    </row>
    <row r="94" customFormat="false" ht="15.75" hidden="false" customHeight="true" outlineLevel="0" collapsed="false">
      <c r="BV94" s="2"/>
    </row>
    <row r="95" customFormat="false" ht="15.75" hidden="false" customHeight="true" outlineLevel="0" collapsed="false">
      <c r="BV95" s="2"/>
    </row>
    <row r="96" customFormat="false" ht="15.75" hidden="false" customHeight="true" outlineLevel="0" collapsed="false">
      <c r="BV96" s="2"/>
    </row>
    <row r="97" customFormat="false" ht="15.75" hidden="false" customHeight="true" outlineLevel="0" collapsed="false">
      <c r="BV97" s="2"/>
    </row>
    <row r="98" customFormat="false" ht="15.75" hidden="false" customHeight="true" outlineLevel="0" collapsed="false">
      <c r="BV98" s="2"/>
    </row>
    <row r="99" customFormat="false" ht="15.75" hidden="false" customHeight="true" outlineLevel="0" collapsed="false">
      <c r="BV99" s="2"/>
    </row>
    <row r="100" customFormat="false" ht="15.75" hidden="false" customHeight="true" outlineLevel="0" collapsed="false">
      <c r="BV100" s="2"/>
    </row>
    <row r="101" customFormat="false" ht="15.75" hidden="false" customHeight="true" outlineLevel="0" collapsed="false">
      <c r="BV101" s="2"/>
    </row>
    <row r="102" customFormat="false" ht="15.75" hidden="false" customHeight="true" outlineLevel="0" collapsed="false">
      <c r="BV102" s="2"/>
    </row>
    <row r="103" customFormat="false" ht="15.75" hidden="false" customHeight="true" outlineLevel="0" collapsed="false">
      <c r="BV103" s="2"/>
    </row>
    <row r="104" customFormat="false" ht="15.75" hidden="false" customHeight="true" outlineLevel="0" collapsed="false">
      <c r="BV104" s="2"/>
    </row>
    <row r="105" customFormat="false" ht="15.75" hidden="false" customHeight="true" outlineLevel="0" collapsed="false">
      <c r="BV105" s="2"/>
    </row>
    <row r="106" customFormat="false" ht="15.75" hidden="false" customHeight="true" outlineLevel="0" collapsed="false">
      <c r="BV106" s="2"/>
    </row>
    <row r="107" customFormat="false" ht="15.75" hidden="false" customHeight="true" outlineLevel="0" collapsed="false">
      <c r="BV107" s="2"/>
    </row>
    <row r="108" customFormat="false" ht="15.75" hidden="false" customHeight="true" outlineLevel="0" collapsed="false">
      <c r="BV108" s="2"/>
    </row>
    <row r="109" customFormat="false" ht="15.75" hidden="false" customHeight="true" outlineLevel="0" collapsed="false">
      <c r="BV109" s="2"/>
    </row>
    <row r="110" customFormat="false" ht="15.75" hidden="false" customHeight="true" outlineLevel="0" collapsed="false">
      <c r="BV110" s="2"/>
    </row>
    <row r="111" customFormat="false" ht="15.75" hidden="false" customHeight="true" outlineLevel="0" collapsed="false">
      <c r="BV111" s="2"/>
    </row>
    <row r="112" customFormat="false" ht="15.75" hidden="false" customHeight="true" outlineLevel="0" collapsed="false">
      <c r="BV112" s="2"/>
    </row>
    <row r="113" customFormat="false" ht="15.75" hidden="false" customHeight="true" outlineLevel="0" collapsed="false">
      <c r="BV113" s="2"/>
    </row>
    <row r="114" customFormat="false" ht="15.75" hidden="false" customHeight="true" outlineLevel="0" collapsed="false">
      <c r="BV114" s="2"/>
    </row>
    <row r="115" customFormat="false" ht="15.75" hidden="false" customHeight="true" outlineLevel="0" collapsed="false">
      <c r="BV115" s="2"/>
    </row>
    <row r="116" customFormat="false" ht="15.75" hidden="false" customHeight="true" outlineLevel="0" collapsed="false">
      <c r="BV116" s="2"/>
    </row>
    <row r="117" customFormat="false" ht="15.75" hidden="false" customHeight="true" outlineLevel="0" collapsed="false">
      <c r="BV117" s="2"/>
    </row>
    <row r="118" customFormat="false" ht="15.75" hidden="false" customHeight="true" outlineLevel="0" collapsed="false">
      <c r="BV118" s="2"/>
    </row>
    <row r="119" customFormat="false" ht="15.75" hidden="false" customHeight="true" outlineLevel="0" collapsed="false">
      <c r="BV119" s="2"/>
    </row>
    <row r="120" customFormat="false" ht="15.75" hidden="false" customHeight="true" outlineLevel="0" collapsed="false">
      <c r="BV120" s="2"/>
    </row>
    <row r="121" customFormat="false" ht="15.75" hidden="false" customHeight="true" outlineLevel="0" collapsed="false">
      <c r="BV121" s="2"/>
    </row>
    <row r="122" customFormat="false" ht="15.75" hidden="false" customHeight="true" outlineLevel="0" collapsed="false">
      <c r="BV122" s="2"/>
    </row>
    <row r="123" customFormat="false" ht="15.75" hidden="false" customHeight="true" outlineLevel="0" collapsed="false">
      <c r="BV123" s="2"/>
    </row>
    <row r="124" customFormat="false" ht="15.75" hidden="false" customHeight="true" outlineLevel="0" collapsed="false">
      <c r="BV124" s="2"/>
    </row>
    <row r="125" customFormat="false" ht="15.75" hidden="false" customHeight="true" outlineLevel="0" collapsed="false">
      <c r="BV125" s="2"/>
    </row>
    <row r="126" customFormat="false" ht="15.75" hidden="false" customHeight="true" outlineLevel="0" collapsed="false">
      <c r="BV126" s="2"/>
    </row>
    <row r="127" customFormat="false" ht="15.75" hidden="false" customHeight="true" outlineLevel="0" collapsed="false">
      <c r="BV127" s="2"/>
    </row>
    <row r="128" customFormat="false" ht="15.75" hidden="false" customHeight="true" outlineLevel="0" collapsed="false">
      <c r="BV128" s="2"/>
    </row>
    <row r="129" customFormat="false" ht="15.75" hidden="false" customHeight="true" outlineLevel="0" collapsed="false">
      <c r="BV129" s="2"/>
    </row>
    <row r="130" customFormat="false" ht="15.75" hidden="false" customHeight="true" outlineLevel="0" collapsed="false">
      <c r="BV130" s="2"/>
    </row>
    <row r="131" customFormat="false" ht="15.75" hidden="false" customHeight="true" outlineLevel="0" collapsed="false">
      <c r="BV131" s="2"/>
    </row>
    <row r="132" customFormat="false" ht="15.75" hidden="false" customHeight="true" outlineLevel="0" collapsed="false">
      <c r="BV132" s="2"/>
    </row>
    <row r="133" customFormat="false" ht="15.75" hidden="false" customHeight="true" outlineLevel="0" collapsed="false">
      <c r="BV133" s="2"/>
    </row>
    <row r="134" customFormat="false" ht="15.75" hidden="false" customHeight="true" outlineLevel="0" collapsed="false">
      <c r="BV134" s="2"/>
    </row>
    <row r="135" customFormat="false" ht="15.75" hidden="false" customHeight="true" outlineLevel="0" collapsed="false">
      <c r="BV135" s="2"/>
    </row>
    <row r="136" customFormat="false" ht="15.75" hidden="false" customHeight="true" outlineLevel="0" collapsed="false">
      <c r="BV136" s="2"/>
    </row>
    <row r="137" customFormat="false" ht="15.75" hidden="false" customHeight="true" outlineLevel="0" collapsed="false">
      <c r="BV137" s="2"/>
    </row>
    <row r="138" customFormat="false" ht="15.75" hidden="false" customHeight="true" outlineLevel="0" collapsed="false">
      <c r="BV138" s="2"/>
    </row>
    <row r="139" customFormat="false" ht="15.75" hidden="false" customHeight="true" outlineLevel="0" collapsed="false">
      <c r="BV139" s="2"/>
    </row>
    <row r="140" customFormat="false" ht="15.75" hidden="false" customHeight="true" outlineLevel="0" collapsed="false">
      <c r="BV140" s="2"/>
    </row>
    <row r="141" customFormat="false" ht="15.75" hidden="false" customHeight="true" outlineLevel="0" collapsed="false">
      <c r="BV141" s="2"/>
    </row>
    <row r="142" customFormat="false" ht="15.75" hidden="false" customHeight="true" outlineLevel="0" collapsed="false">
      <c r="BV142" s="2"/>
    </row>
    <row r="143" customFormat="false" ht="15.75" hidden="false" customHeight="true" outlineLevel="0" collapsed="false">
      <c r="BV143" s="2"/>
    </row>
    <row r="144" customFormat="false" ht="15.75" hidden="false" customHeight="true" outlineLevel="0" collapsed="false">
      <c r="BV144" s="2"/>
    </row>
    <row r="145" customFormat="false" ht="15.75" hidden="false" customHeight="true" outlineLevel="0" collapsed="false">
      <c r="BV145" s="2"/>
    </row>
    <row r="146" customFormat="false" ht="15.75" hidden="false" customHeight="true" outlineLevel="0" collapsed="false">
      <c r="BV146" s="2"/>
    </row>
    <row r="147" customFormat="false" ht="15.75" hidden="false" customHeight="true" outlineLevel="0" collapsed="false">
      <c r="BV147" s="2"/>
    </row>
    <row r="148" customFormat="false" ht="15.75" hidden="false" customHeight="true" outlineLevel="0" collapsed="false">
      <c r="BV148" s="2"/>
    </row>
    <row r="149" customFormat="false" ht="15.75" hidden="false" customHeight="true" outlineLevel="0" collapsed="false">
      <c r="BV149" s="2"/>
    </row>
    <row r="150" customFormat="false" ht="15.75" hidden="false" customHeight="true" outlineLevel="0" collapsed="false">
      <c r="BV150" s="2"/>
    </row>
    <row r="151" customFormat="false" ht="15.75" hidden="false" customHeight="true" outlineLevel="0" collapsed="false">
      <c r="BV151" s="2"/>
    </row>
    <row r="152" customFormat="false" ht="15.75" hidden="false" customHeight="true" outlineLevel="0" collapsed="false">
      <c r="BV152" s="2"/>
    </row>
    <row r="153" customFormat="false" ht="15.75" hidden="false" customHeight="true" outlineLevel="0" collapsed="false">
      <c r="BV153" s="2"/>
    </row>
    <row r="154" customFormat="false" ht="15.75" hidden="false" customHeight="true" outlineLevel="0" collapsed="false">
      <c r="BV154" s="2"/>
    </row>
    <row r="155" customFormat="false" ht="15.75" hidden="false" customHeight="true" outlineLevel="0" collapsed="false">
      <c r="BV155" s="2"/>
    </row>
    <row r="156" customFormat="false" ht="15.75" hidden="false" customHeight="true" outlineLevel="0" collapsed="false">
      <c r="BV156" s="2"/>
    </row>
    <row r="157" customFormat="false" ht="15.75" hidden="false" customHeight="true" outlineLevel="0" collapsed="false">
      <c r="BV157" s="2"/>
    </row>
    <row r="158" customFormat="false" ht="15.75" hidden="false" customHeight="true" outlineLevel="0" collapsed="false">
      <c r="BV158" s="2"/>
    </row>
    <row r="159" customFormat="false" ht="15.75" hidden="false" customHeight="true" outlineLevel="0" collapsed="false">
      <c r="BV159" s="2"/>
    </row>
    <row r="160" customFormat="false" ht="15.75" hidden="false" customHeight="true" outlineLevel="0" collapsed="false">
      <c r="BV160" s="2"/>
    </row>
    <row r="161" customFormat="false" ht="15.75" hidden="false" customHeight="true" outlineLevel="0" collapsed="false">
      <c r="BV161" s="2"/>
    </row>
    <row r="162" customFormat="false" ht="15.75" hidden="false" customHeight="true" outlineLevel="0" collapsed="false">
      <c r="BV162" s="2"/>
    </row>
    <row r="163" customFormat="false" ht="15.75" hidden="false" customHeight="true" outlineLevel="0" collapsed="false">
      <c r="BV163" s="2"/>
    </row>
    <row r="164" customFormat="false" ht="15.75" hidden="false" customHeight="true" outlineLevel="0" collapsed="false">
      <c r="BV164" s="2"/>
    </row>
    <row r="165" customFormat="false" ht="15.75" hidden="false" customHeight="true" outlineLevel="0" collapsed="false">
      <c r="BV165" s="2"/>
    </row>
    <row r="166" customFormat="false" ht="15.75" hidden="false" customHeight="true" outlineLevel="0" collapsed="false">
      <c r="BV166" s="2"/>
    </row>
    <row r="167" customFormat="false" ht="15.75" hidden="false" customHeight="true" outlineLevel="0" collapsed="false">
      <c r="BV167" s="2"/>
    </row>
    <row r="168" customFormat="false" ht="15.75" hidden="false" customHeight="true" outlineLevel="0" collapsed="false">
      <c r="BV168" s="2"/>
    </row>
    <row r="169" customFormat="false" ht="15.75" hidden="false" customHeight="true" outlineLevel="0" collapsed="false">
      <c r="BV169" s="2"/>
    </row>
    <row r="170" customFormat="false" ht="15.75" hidden="false" customHeight="true" outlineLevel="0" collapsed="false">
      <c r="BV170" s="2"/>
    </row>
    <row r="171" customFormat="false" ht="15.75" hidden="false" customHeight="true" outlineLevel="0" collapsed="false">
      <c r="BV171" s="2"/>
    </row>
    <row r="172" customFormat="false" ht="15.75" hidden="false" customHeight="true" outlineLevel="0" collapsed="false">
      <c r="BV172" s="2"/>
    </row>
    <row r="173" customFormat="false" ht="15.75" hidden="false" customHeight="true" outlineLevel="0" collapsed="false">
      <c r="BV173" s="2"/>
    </row>
    <row r="174" customFormat="false" ht="15.75" hidden="false" customHeight="true" outlineLevel="0" collapsed="false">
      <c r="BV174" s="2"/>
    </row>
    <row r="175" customFormat="false" ht="15.75" hidden="false" customHeight="true" outlineLevel="0" collapsed="false">
      <c r="BV175" s="2"/>
    </row>
    <row r="176" customFormat="false" ht="15.75" hidden="false" customHeight="true" outlineLevel="0" collapsed="false">
      <c r="BV176" s="2"/>
    </row>
    <row r="177" customFormat="false" ht="15.75" hidden="false" customHeight="true" outlineLevel="0" collapsed="false">
      <c r="BV177" s="2"/>
    </row>
    <row r="178" customFormat="false" ht="15.75" hidden="false" customHeight="true" outlineLevel="0" collapsed="false">
      <c r="BV178" s="2"/>
    </row>
    <row r="179" customFormat="false" ht="15.75" hidden="false" customHeight="true" outlineLevel="0" collapsed="false">
      <c r="BV179" s="2"/>
    </row>
    <row r="180" customFormat="false" ht="15.75" hidden="false" customHeight="true" outlineLevel="0" collapsed="false">
      <c r="BV180" s="2"/>
    </row>
    <row r="181" customFormat="false" ht="15.75" hidden="false" customHeight="true" outlineLevel="0" collapsed="false">
      <c r="BV181" s="2"/>
    </row>
    <row r="182" customFormat="false" ht="15.75" hidden="false" customHeight="true" outlineLevel="0" collapsed="false">
      <c r="BV182" s="2"/>
    </row>
    <row r="183" customFormat="false" ht="15.75" hidden="false" customHeight="true" outlineLevel="0" collapsed="false">
      <c r="BV183" s="2"/>
    </row>
    <row r="184" customFormat="false" ht="15.75" hidden="false" customHeight="true" outlineLevel="0" collapsed="false">
      <c r="BV184" s="2"/>
    </row>
    <row r="185" customFormat="false" ht="15.75" hidden="false" customHeight="true" outlineLevel="0" collapsed="false">
      <c r="BV185" s="2"/>
    </row>
    <row r="186" customFormat="false" ht="15.75" hidden="false" customHeight="true" outlineLevel="0" collapsed="false">
      <c r="BV186" s="2"/>
    </row>
    <row r="187" customFormat="false" ht="15.75" hidden="false" customHeight="true" outlineLevel="0" collapsed="false">
      <c r="BV187" s="2"/>
    </row>
    <row r="188" customFormat="false" ht="15.75" hidden="false" customHeight="true" outlineLevel="0" collapsed="false">
      <c r="BV188" s="2"/>
    </row>
    <row r="189" customFormat="false" ht="15.75" hidden="false" customHeight="true" outlineLevel="0" collapsed="false">
      <c r="BV189" s="2"/>
    </row>
    <row r="190" customFormat="false" ht="15.75" hidden="false" customHeight="true" outlineLevel="0" collapsed="false">
      <c r="BV190" s="2"/>
    </row>
    <row r="191" customFormat="false" ht="15.75" hidden="false" customHeight="true" outlineLevel="0" collapsed="false">
      <c r="BV191" s="2"/>
    </row>
    <row r="192" customFormat="false" ht="15.75" hidden="false" customHeight="true" outlineLevel="0" collapsed="false">
      <c r="BV192" s="2"/>
    </row>
    <row r="193" customFormat="false" ht="15.75" hidden="false" customHeight="true" outlineLevel="0" collapsed="false">
      <c r="BV193" s="2"/>
    </row>
    <row r="194" customFormat="false" ht="15.75" hidden="false" customHeight="true" outlineLevel="0" collapsed="false">
      <c r="BV194" s="2"/>
    </row>
    <row r="195" customFormat="false" ht="15.75" hidden="false" customHeight="true" outlineLevel="0" collapsed="false">
      <c r="BV195" s="2"/>
    </row>
    <row r="196" customFormat="false" ht="15.75" hidden="false" customHeight="true" outlineLevel="0" collapsed="false">
      <c r="BV196" s="2"/>
    </row>
    <row r="197" customFormat="false" ht="15.75" hidden="false" customHeight="true" outlineLevel="0" collapsed="false">
      <c r="BV197" s="2"/>
    </row>
    <row r="198" customFormat="false" ht="15.75" hidden="false" customHeight="true" outlineLevel="0" collapsed="false">
      <c r="BV198" s="2"/>
    </row>
    <row r="199" customFormat="false" ht="15.75" hidden="false" customHeight="true" outlineLevel="0" collapsed="false">
      <c r="BV199" s="2"/>
    </row>
    <row r="200" customFormat="false" ht="15.75" hidden="false" customHeight="true" outlineLevel="0" collapsed="false">
      <c r="BV200" s="2"/>
    </row>
    <row r="201" customFormat="false" ht="15.75" hidden="false" customHeight="true" outlineLevel="0" collapsed="false">
      <c r="BV201" s="2"/>
    </row>
    <row r="202" customFormat="false" ht="15.75" hidden="false" customHeight="true" outlineLevel="0" collapsed="false">
      <c r="BV202" s="2"/>
    </row>
    <row r="203" customFormat="false" ht="15.75" hidden="false" customHeight="true" outlineLevel="0" collapsed="false">
      <c r="BV203" s="2"/>
    </row>
    <row r="204" customFormat="false" ht="15.75" hidden="false" customHeight="true" outlineLevel="0" collapsed="false">
      <c r="BV204" s="2"/>
    </row>
    <row r="205" customFormat="false" ht="15.75" hidden="false" customHeight="true" outlineLevel="0" collapsed="false">
      <c r="BV205" s="2"/>
    </row>
    <row r="206" customFormat="false" ht="15.75" hidden="false" customHeight="true" outlineLevel="0" collapsed="false">
      <c r="BV206" s="2"/>
    </row>
    <row r="207" customFormat="false" ht="15.75" hidden="false" customHeight="true" outlineLevel="0" collapsed="false">
      <c r="BV207" s="2"/>
    </row>
    <row r="208" customFormat="false" ht="15.75" hidden="false" customHeight="true" outlineLevel="0" collapsed="false">
      <c r="BV208" s="2"/>
    </row>
    <row r="209" customFormat="false" ht="15.75" hidden="false" customHeight="true" outlineLevel="0" collapsed="false">
      <c r="BV209" s="2"/>
    </row>
    <row r="210" customFormat="false" ht="15.75" hidden="false" customHeight="true" outlineLevel="0" collapsed="false">
      <c r="BV210" s="2"/>
    </row>
    <row r="211" customFormat="false" ht="15.75" hidden="false" customHeight="true" outlineLevel="0" collapsed="false">
      <c r="BV211" s="2"/>
    </row>
    <row r="212" customFormat="false" ht="15.75" hidden="false" customHeight="true" outlineLevel="0" collapsed="false">
      <c r="BV212" s="2"/>
    </row>
    <row r="213" customFormat="false" ht="15.75" hidden="false" customHeight="true" outlineLevel="0" collapsed="false">
      <c r="BV213" s="2"/>
    </row>
    <row r="214" customFormat="false" ht="15.75" hidden="false" customHeight="true" outlineLevel="0" collapsed="false">
      <c r="BV214" s="2"/>
    </row>
    <row r="215" customFormat="false" ht="15.75" hidden="false" customHeight="true" outlineLevel="0" collapsed="false">
      <c r="BV215" s="2"/>
    </row>
    <row r="216" customFormat="false" ht="15.75" hidden="false" customHeight="true" outlineLevel="0" collapsed="false">
      <c r="BV216" s="2"/>
    </row>
    <row r="217" customFormat="false" ht="15.75" hidden="false" customHeight="true" outlineLevel="0" collapsed="false">
      <c r="BV217" s="2"/>
    </row>
    <row r="218" customFormat="false" ht="15.75" hidden="false" customHeight="true" outlineLevel="0" collapsed="false">
      <c r="BV218" s="2"/>
    </row>
    <row r="219" customFormat="false" ht="15.75" hidden="false" customHeight="true" outlineLevel="0" collapsed="false">
      <c r="BV219" s="2"/>
    </row>
    <row r="220" customFormat="false" ht="15.75" hidden="false" customHeight="true" outlineLevel="0" collapsed="false">
      <c r="BV220" s="2"/>
    </row>
    <row r="221" customFormat="false" ht="15.75" hidden="false" customHeight="true" outlineLevel="0" collapsed="false">
      <c r="BV221" s="2"/>
    </row>
    <row r="222" customFormat="false" ht="15.75" hidden="false" customHeight="true" outlineLevel="0" collapsed="false">
      <c r="BV222" s="2"/>
    </row>
    <row r="223" customFormat="false" ht="15.75" hidden="false" customHeight="true" outlineLevel="0" collapsed="false">
      <c r="BV223" s="2"/>
    </row>
    <row r="224" customFormat="false" ht="15.75" hidden="false" customHeight="true" outlineLevel="0" collapsed="false">
      <c r="BV224" s="2"/>
    </row>
    <row r="225" customFormat="false" ht="15.75" hidden="false" customHeight="true" outlineLevel="0" collapsed="false">
      <c r="BV225" s="2"/>
    </row>
    <row r="226" customFormat="false" ht="15.75" hidden="false" customHeight="true" outlineLevel="0" collapsed="false">
      <c r="BV226" s="2"/>
    </row>
    <row r="227" customFormat="false" ht="15.75" hidden="false" customHeight="true" outlineLevel="0" collapsed="false">
      <c r="BV227" s="2"/>
    </row>
    <row r="228" customFormat="false" ht="15.75" hidden="false" customHeight="true" outlineLevel="0" collapsed="false">
      <c r="BV228" s="2"/>
    </row>
    <row r="229" customFormat="false" ht="15.75" hidden="false" customHeight="true" outlineLevel="0" collapsed="false">
      <c r="BV229" s="2"/>
    </row>
    <row r="230" customFormat="false" ht="15.75" hidden="false" customHeight="true" outlineLevel="0" collapsed="false">
      <c r="BV230" s="2"/>
    </row>
    <row r="231" customFormat="false" ht="15.75" hidden="false" customHeight="true" outlineLevel="0" collapsed="false">
      <c r="BV231" s="2"/>
    </row>
    <row r="232" customFormat="false" ht="15.75" hidden="false" customHeight="true" outlineLevel="0" collapsed="false">
      <c r="BV232" s="2"/>
    </row>
    <row r="233" customFormat="false" ht="15.75" hidden="false" customHeight="true" outlineLevel="0" collapsed="false">
      <c r="BV233" s="2"/>
    </row>
    <row r="234" customFormat="false" ht="15.75" hidden="false" customHeight="true" outlineLevel="0" collapsed="false">
      <c r="BV234" s="2"/>
    </row>
    <row r="235" customFormat="false" ht="15.75" hidden="false" customHeight="true" outlineLevel="0" collapsed="false">
      <c r="BV235" s="2"/>
    </row>
    <row r="236" customFormat="false" ht="15.75" hidden="false" customHeight="true" outlineLevel="0" collapsed="false">
      <c r="BV236" s="2"/>
    </row>
    <row r="237" customFormat="false" ht="15.75" hidden="false" customHeight="true" outlineLevel="0" collapsed="false">
      <c r="BV237" s="2"/>
    </row>
    <row r="238" customFormat="false" ht="15.75" hidden="false" customHeight="true" outlineLevel="0" collapsed="false">
      <c r="BV238" s="2"/>
    </row>
    <row r="239" customFormat="false" ht="15.75" hidden="false" customHeight="true" outlineLevel="0" collapsed="false">
      <c r="BV239" s="2"/>
    </row>
    <row r="240" customFormat="false" ht="15.75" hidden="false" customHeight="true" outlineLevel="0" collapsed="false">
      <c r="BV240" s="2"/>
    </row>
    <row r="241" customFormat="false" ht="15.75" hidden="false" customHeight="true" outlineLevel="0" collapsed="false">
      <c r="BV241" s="2"/>
    </row>
    <row r="242" customFormat="false" ht="15.75" hidden="false" customHeight="true" outlineLevel="0" collapsed="false">
      <c r="BV242" s="2"/>
    </row>
    <row r="243" customFormat="false" ht="15.75" hidden="false" customHeight="true" outlineLevel="0" collapsed="false">
      <c r="BV243" s="2"/>
    </row>
    <row r="244" customFormat="false" ht="15.75" hidden="false" customHeight="true" outlineLevel="0" collapsed="false">
      <c r="BV244" s="2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mergeCells count="23"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  <mergeCell ref="AG7:AK7"/>
    <mergeCell ref="AL7:AP7"/>
    <mergeCell ref="AQ7:AU7"/>
    <mergeCell ref="AV7:AZ7"/>
    <mergeCell ref="BA7:BE7"/>
    <mergeCell ref="BF7:BJ7"/>
    <mergeCell ref="BK7:BO7"/>
    <mergeCell ref="BP7:BT7"/>
    <mergeCell ref="B44:AI44"/>
  </mergeCells>
  <hyperlinks>
    <hyperlink ref="B44" r:id="rId1" display="CLICK HERE TO CREATE IN SMARTSHEET"/>
  </hyperlink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FQ10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12" activeCellId="0" sqref="B12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28.67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173" min="13" style="1" width="3.78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62"/>
      <c r="AH1" s="362"/>
      <c r="AI1" s="362"/>
      <c r="AJ1" s="362"/>
      <c r="AK1" s="362"/>
      <c r="AL1" s="362"/>
      <c r="AM1" s="362"/>
      <c r="AN1" s="362"/>
      <c r="AO1" s="362"/>
      <c r="AP1" s="362"/>
      <c r="AQ1" s="362"/>
      <c r="AR1" s="362"/>
      <c r="AS1" s="362"/>
      <c r="AT1" s="362"/>
      <c r="AU1" s="362"/>
      <c r="AV1" s="362"/>
      <c r="AW1" s="362"/>
      <c r="AX1" s="362"/>
      <c r="AY1" s="362"/>
      <c r="AZ1" s="362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BM1" s="362"/>
      <c r="BN1" s="362"/>
      <c r="BO1" s="362"/>
      <c r="BP1" s="362"/>
      <c r="BQ1" s="362"/>
      <c r="BR1" s="362"/>
      <c r="BS1" s="362"/>
      <c r="BT1" s="362"/>
      <c r="BU1" s="362"/>
      <c r="BV1" s="362"/>
      <c r="BW1" s="362"/>
      <c r="BX1" s="362"/>
      <c r="BY1" s="362"/>
      <c r="BZ1" s="362"/>
      <c r="CA1" s="362"/>
      <c r="CB1" s="362"/>
      <c r="CC1" s="362"/>
      <c r="CD1" s="362"/>
      <c r="CE1" s="362"/>
      <c r="CF1" s="362"/>
      <c r="CG1" s="362"/>
      <c r="CH1" s="362"/>
      <c r="CI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  <c r="DB1" s="362"/>
      <c r="DC1" s="362"/>
      <c r="DD1" s="362"/>
      <c r="DE1" s="362"/>
      <c r="DF1" s="362"/>
      <c r="DG1" s="362"/>
      <c r="DH1" s="362"/>
      <c r="DI1" s="362"/>
      <c r="DJ1" s="362"/>
      <c r="DK1" s="362"/>
      <c r="DL1" s="362"/>
      <c r="DM1" s="362"/>
      <c r="DN1" s="362"/>
      <c r="DO1" s="362"/>
      <c r="DP1" s="362"/>
      <c r="DQ1" s="362"/>
      <c r="DR1" s="362"/>
      <c r="DS1" s="362"/>
      <c r="DT1" s="362"/>
      <c r="DU1" s="362"/>
      <c r="DV1" s="362"/>
      <c r="DW1" s="362"/>
      <c r="DX1" s="362"/>
      <c r="DY1" s="362"/>
      <c r="DZ1" s="362"/>
      <c r="EA1" s="362"/>
      <c r="EB1" s="362"/>
      <c r="EC1" s="362"/>
      <c r="ED1" s="362"/>
      <c r="EE1" s="362"/>
      <c r="EF1" s="362"/>
      <c r="EG1" s="362"/>
      <c r="EH1" s="362"/>
      <c r="EI1" s="362"/>
      <c r="EJ1" s="362"/>
      <c r="EK1" s="362"/>
      <c r="EL1" s="362"/>
      <c r="EM1" s="362"/>
      <c r="EN1" s="362"/>
      <c r="EO1" s="362"/>
      <c r="EP1" s="362"/>
      <c r="EQ1" s="362"/>
      <c r="ER1" s="362"/>
      <c r="ES1" s="362"/>
      <c r="ET1" s="362"/>
      <c r="EU1" s="362"/>
      <c r="EV1" s="362"/>
      <c r="EW1" s="362"/>
      <c r="EX1" s="362"/>
      <c r="EY1" s="362"/>
      <c r="EZ1" s="362"/>
      <c r="FA1" s="362"/>
      <c r="FB1" s="362"/>
      <c r="FC1" s="362"/>
      <c r="FD1" s="362"/>
      <c r="FE1" s="362"/>
      <c r="FF1" s="362"/>
      <c r="FG1" s="362"/>
      <c r="FH1" s="362"/>
      <c r="FI1" s="362"/>
      <c r="FJ1" s="362"/>
      <c r="FK1" s="362"/>
      <c r="FL1" s="362"/>
      <c r="FM1" s="362"/>
      <c r="FN1" s="362"/>
      <c r="FO1" s="362"/>
      <c r="FP1" s="362"/>
      <c r="FQ1" s="362"/>
    </row>
    <row r="2" customFormat="false" ht="11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</row>
    <row r="3" customFormat="false" ht="22.5" hidden="false" customHeight="true" outlineLevel="0" collapsed="false">
      <c r="A3" s="7"/>
      <c r="B3" s="7"/>
      <c r="C3" s="470" t="s">
        <v>514</v>
      </c>
      <c r="D3" s="471" t="s">
        <v>680</v>
      </c>
      <c r="E3" s="471"/>
      <c r="F3" s="47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</row>
    <row r="4" customFormat="false" ht="22.5" hidden="false" customHeight="true" outlineLevel="0" collapsed="false">
      <c r="A4" s="7"/>
      <c r="B4" s="7"/>
      <c r="C4" s="470" t="s">
        <v>681</v>
      </c>
      <c r="D4" s="472" t="n">
        <v>45658</v>
      </c>
      <c r="E4" s="472"/>
      <c r="F4" s="472"/>
      <c r="G4" s="7"/>
      <c r="H4" s="7"/>
      <c r="I4" s="7"/>
      <c r="J4" s="7"/>
      <c r="K4" s="364" t="s">
        <v>4</v>
      </c>
      <c r="L4" s="473" t="s">
        <v>584</v>
      </c>
      <c r="M4" s="366"/>
      <c r="N4" s="474"/>
      <c r="O4" s="474"/>
      <c r="P4" s="474"/>
      <c r="Q4" s="474"/>
      <c r="R4" s="366"/>
      <c r="S4" s="474"/>
      <c r="T4" s="474"/>
      <c r="U4" s="474"/>
      <c r="V4" s="474"/>
      <c r="W4" s="474"/>
      <c r="X4" s="474"/>
      <c r="Y4" s="474"/>
      <c r="Z4" s="474"/>
      <c r="AA4" s="474"/>
      <c r="AB4" s="474"/>
      <c r="AC4" s="474"/>
      <c r="AD4" s="474"/>
      <c r="AE4" s="474"/>
      <c r="AF4" s="474"/>
      <c r="AG4" s="474"/>
      <c r="AH4" s="474"/>
      <c r="AI4" s="474"/>
      <c r="AJ4" s="474"/>
      <c r="AK4" s="474"/>
      <c r="AL4" s="474"/>
      <c r="AM4" s="474"/>
      <c r="AN4" s="474"/>
      <c r="AO4" s="474"/>
      <c r="AP4" s="474"/>
      <c r="AQ4" s="474"/>
      <c r="AR4" s="474"/>
      <c r="AS4" s="474"/>
      <c r="AT4" s="474"/>
      <c r="AU4" s="474"/>
      <c r="AV4" s="474"/>
      <c r="AW4" s="474"/>
      <c r="AX4" s="474"/>
      <c r="AY4" s="474"/>
      <c r="AZ4" s="474"/>
      <c r="BA4" s="474"/>
      <c r="BB4" s="474"/>
      <c r="BC4" s="474"/>
      <c r="BD4" s="474"/>
      <c r="BE4" s="474"/>
      <c r="BF4" s="474"/>
      <c r="BG4" s="475"/>
      <c r="BH4" s="475"/>
      <c r="BI4" s="475"/>
      <c r="BJ4" s="475"/>
      <c r="BK4" s="475"/>
      <c r="BL4" s="475"/>
      <c r="BM4" s="475"/>
      <c r="BN4" s="475"/>
      <c r="BO4" s="475"/>
      <c r="BP4" s="475"/>
      <c r="BQ4" s="475"/>
      <c r="BR4" s="475"/>
      <c r="BS4" s="475"/>
      <c r="BT4" s="475"/>
      <c r="BU4" s="475"/>
      <c r="BV4" s="475"/>
      <c r="BW4" s="475"/>
      <c r="BX4" s="475"/>
      <c r="BY4" s="475"/>
      <c r="BZ4" s="475"/>
      <c r="CA4" s="475"/>
      <c r="CB4" s="475"/>
      <c r="CC4" s="475"/>
      <c r="CD4" s="475"/>
      <c r="CE4" s="475"/>
      <c r="CF4" s="475"/>
      <c r="CG4" s="475"/>
      <c r="CH4" s="475"/>
      <c r="CI4" s="475"/>
      <c r="CJ4" s="475"/>
      <c r="CK4" s="475"/>
      <c r="CL4" s="475"/>
      <c r="CM4" s="475"/>
      <c r="CN4" s="366"/>
      <c r="CO4" s="474"/>
      <c r="CP4" s="474"/>
      <c r="CQ4" s="474"/>
      <c r="CR4" s="474"/>
      <c r="CS4" s="366"/>
      <c r="CT4" s="474"/>
      <c r="CU4" s="474"/>
      <c r="CV4" s="474"/>
      <c r="CW4" s="474"/>
      <c r="CX4" s="474"/>
      <c r="CY4" s="474"/>
      <c r="CZ4" s="474"/>
      <c r="DA4" s="474"/>
      <c r="DB4" s="474"/>
      <c r="DC4" s="474"/>
      <c r="DD4" s="474"/>
      <c r="DE4" s="474"/>
      <c r="DF4" s="474"/>
      <c r="DG4" s="474"/>
      <c r="DH4" s="474"/>
      <c r="DI4" s="474"/>
      <c r="DJ4" s="474"/>
      <c r="DK4" s="474"/>
      <c r="DL4" s="474"/>
      <c r="DM4" s="474"/>
      <c r="DN4" s="474"/>
      <c r="DO4" s="474"/>
      <c r="DP4" s="474"/>
      <c r="DQ4" s="474"/>
      <c r="DR4" s="474"/>
      <c r="DS4" s="474"/>
      <c r="DT4" s="474"/>
      <c r="DU4" s="474"/>
      <c r="DV4" s="474"/>
      <c r="DW4" s="474"/>
      <c r="DX4" s="474"/>
      <c r="DY4" s="474"/>
      <c r="DZ4" s="474"/>
      <c r="EA4" s="474"/>
      <c r="EB4" s="474"/>
      <c r="EC4" s="474"/>
      <c r="ED4" s="474"/>
      <c r="EE4" s="474"/>
      <c r="EF4" s="474"/>
      <c r="EG4" s="474"/>
      <c r="EH4" s="475"/>
      <c r="EI4" s="475"/>
      <c r="EJ4" s="475"/>
      <c r="EK4" s="475"/>
      <c r="EL4" s="475"/>
      <c r="EM4" s="475"/>
      <c r="EN4" s="475"/>
      <c r="EO4" s="475"/>
      <c r="EP4" s="475"/>
      <c r="EQ4" s="475"/>
      <c r="ER4" s="475"/>
      <c r="ES4" s="475"/>
      <c r="ET4" s="475"/>
      <c r="EU4" s="475"/>
      <c r="EV4" s="475"/>
      <c r="EW4" s="475"/>
      <c r="EX4" s="475"/>
      <c r="EY4" s="475"/>
      <c r="EZ4" s="475"/>
      <c r="FA4" s="475"/>
      <c r="FB4" s="475"/>
      <c r="FC4" s="475"/>
      <c r="FD4" s="475"/>
      <c r="FE4" s="475"/>
      <c r="FF4" s="475"/>
      <c r="FG4" s="475"/>
      <c r="FH4" s="475"/>
      <c r="FI4" s="475"/>
      <c r="FJ4" s="475"/>
      <c r="FK4" s="475"/>
      <c r="FL4" s="475"/>
      <c r="FM4" s="475"/>
      <c r="FN4" s="475"/>
      <c r="FO4" s="475"/>
      <c r="FP4" s="476"/>
      <c r="FQ4" s="7"/>
    </row>
    <row r="5" customFormat="false" ht="22.5" hidden="false" customHeight="true" outlineLevel="0" collapsed="false">
      <c r="A5" s="7"/>
      <c r="B5" s="7"/>
      <c r="C5" s="470" t="s">
        <v>682</v>
      </c>
      <c r="D5" s="477" t="n">
        <f aca="false">MIN(I12:J37)</f>
        <v>46093</v>
      </c>
      <c r="E5" s="477"/>
      <c r="F5" s="477"/>
      <c r="G5" s="7"/>
      <c r="H5" s="7"/>
      <c r="I5" s="7"/>
      <c r="J5" s="7"/>
      <c r="K5" s="364"/>
      <c r="L5" s="478" t="s">
        <v>585</v>
      </c>
      <c r="M5" s="19"/>
      <c r="N5" s="479"/>
      <c r="O5" s="19"/>
      <c r="P5" s="480"/>
      <c r="Q5" s="480"/>
      <c r="R5" s="369"/>
      <c r="S5" s="479"/>
      <c r="T5" s="369"/>
      <c r="U5" s="369"/>
      <c r="V5" s="369"/>
      <c r="W5" s="369"/>
      <c r="X5" s="369"/>
      <c r="Y5" s="369"/>
      <c r="Z5" s="369"/>
      <c r="AA5" s="369"/>
      <c r="AB5" s="369"/>
      <c r="AC5" s="369"/>
      <c r="AD5" s="369"/>
      <c r="AE5" s="369"/>
      <c r="AF5" s="369"/>
      <c r="AG5" s="369"/>
      <c r="AH5" s="369"/>
      <c r="AI5" s="369"/>
      <c r="AJ5" s="369"/>
      <c r="AK5" s="369"/>
      <c r="AL5" s="369"/>
      <c r="AM5" s="369"/>
      <c r="AN5" s="369"/>
      <c r="AO5" s="369"/>
      <c r="AP5" s="369"/>
      <c r="AQ5" s="369"/>
      <c r="AR5" s="369"/>
      <c r="AS5" s="369"/>
      <c r="AT5" s="369"/>
      <c r="AU5" s="369"/>
      <c r="AV5" s="369"/>
      <c r="AW5" s="369"/>
      <c r="AX5" s="369"/>
      <c r="AY5" s="369"/>
      <c r="AZ5" s="369"/>
      <c r="BA5" s="369"/>
      <c r="BB5" s="369"/>
      <c r="BC5" s="369"/>
      <c r="BD5" s="369"/>
      <c r="BE5" s="369"/>
      <c r="BF5" s="369"/>
      <c r="BG5" s="369"/>
      <c r="BH5" s="369"/>
      <c r="BI5" s="369"/>
      <c r="BJ5" s="369"/>
      <c r="BK5" s="369"/>
      <c r="BL5" s="369"/>
      <c r="BM5" s="369"/>
      <c r="BN5" s="369"/>
      <c r="BO5" s="369"/>
      <c r="BP5" s="369"/>
      <c r="BQ5" s="369"/>
      <c r="BR5" s="369"/>
      <c r="BS5" s="369"/>
      <c r="BT5" s="369"/>
      <c r="BU5" s="369"/>
      <c r="BV5" s="369"/>
      <c r="BW5" s="369"/>
      <c r="BX5" s="369"/>
      <c r="BY5" s="369"/>
      <c r="BZ5" s="369"/>
      <c r="CA5" s="369"/>
      <c r="CB5" s="369"/>
      <c r="CC5" s="369"/>
      <c r="CD5" s="369"/>
      <c r="CE5" s="369"/>
      <c r="CF5" s="369"/>
      <c r="CG5" s="369"/>
      <c r="CH5" s="369"/>
      <c r="CI5" s="369"/>
      <c r="CJ5" s="369"/>
      <c r="CK5" s="369"/>
      <c r="CL5" s="369"/>
      <c r="CM5" s="369"/>
      <c r="CN5" s="19"/>
      <c r="CO5" s="479"/>
      <c r="CP5" s="19"/>
      <c r="CQ5" s="480"/>
      <c r="CR5" s="480"/>
      <c r="CS5" s="369"/>
      <c r="CT5" s="479"/>
      <c r="CU5" s="369"/>
      <c r="CV5" s="369"/>
      <c r="CW5" s="369"/>
      <c r="CX5" s="369"/>
      <c r="CY5" s="369"/>
      <c r="CZ5" s="369"/>
      <c r="DA5" s="369"/>
      <c r="DB5" s="369"/>
      <c r="DC5" s="369"/>
      <c r="DD5" s="369"/>
      <c r="DE5" s="369"/>
      <c r="DF5" s="369"/>
      <c r="DG5" s="369"/>
      <c r="DH5" s="369"/>
      <c r="DI5" s="369"/>
      <c r="DJ5" s="369"/>
      <c r="DK5" s="369"/>
      <c r="DL5" s="369"/>
      <c r="DM5" s="369"/>
      <c r="DN5" s="369"/>
      <c r="DO5" s="369"/>
      <c r="DP5" s="369"/>
      <c r="DQ5" s="369"/>
      <c r="DR5" s="369"/>
      <c r="DS5" s="369"/>
      <c r="DT5" s="369"/>
      <c r="DU5" s="369"/>
      <c r="DV5" s="369"/>
      <c r="DW5" s="369"/>
      <c r="DX5" s="369"/>
      <c r="DY5" s="369"/>
      <c r="DZ5" s="369"/>
      <c r="EA5" s="369"/>
      <c r="EB5" s="369"/>
      <c r="EC5" s="369"/>
      <c r="ED5" s="369"/>
      <c r="EE5" s="369"/>
      <c r="EF5" s="369"/>
      <c r="EG5" s="369"/>
      <c r="EH5" s="369"/>
      <c r="EI5" s="369"/>
      <c r="EJ5" s="369"/>
      <c r="EK5" s="369"/>
      <c r="EL5" s="369"/>
      <c r="EM5" s="369"/>
      <c r="EN5" s="369"/>
      <c r="EO5" s="369"/>
      <c r="EP5" s="369"/>
      <c r="EQ5" s="369"/>
      <c r="ER5" s="369"/>
      <c r="ES5" s="369"/>
      <c r="ET5" s="369"/>
      <c r="EU5" s="369"/>
      <c r="EV5" s="369"/>
      <c r="EW5" s="369"/>
      <c r="EX5" s="369"/>
      <c r="EY5" s="369"/>
      <c r="EZ5" s="369"/>
      <c r="FA5" s="369"/>
      <c r="FB5" s="369"/>
      <c r="FC5" s="369"/>
      <c r="FD5" s="369"/>
      <c r="FE5" s="369"/>
      <c r="FF5" s="369"/>
      <c r="FG5" s="369"/>
      <c r="FH5" s="369"/>
      <c r="FI5" s="369"/>
      <c r="FJ5" s="369"/>
      <c r="FK5" s="369"/>
      <c r="FL5" s="369"/>
      <c r="FM5" s="369"/>
      <c r="FN5" s="369"/>
      <c r="FO5" s="369"/>
      <c r="FP5" s="373"/>
      <c r="FQ5" s="7"/>
    </row>
    <row r="6" customFormat="false" ht="22.5" hidden="false" customHeight="true" outlineLevel="0" collapsed="false">
      <c r="A6" s="7"/>
      <c r="B6" s="7"/>
      <c r="C6" s="470" t="s">
        <v>683</v>
      </c>
      <c r="D6" s="481" t="n">
        <f aca="false">MAX(I12:J126)</f>
        <v>46340</v>
      </c>
      <c r="E6" s="481"/>
      <c r="F6" s="481"/>
      <c r="G6" s="7"/>
      <c r="H6" s="7"/>
      <c r="I6" s="7"/>
      <c r="J6" s="7"/>
      <c r="K6" s="364"/>
      <c r="L6" s="482" t="s">
        <v>586</v>
      </c>
      <c r="M6" s="19"/>
      <c r="N6" s="19"/>
      <c r="O6" s="483"/>
      <c r="P6" s="480"/>
      <c r="Q6" s="480"/>
      <c r="R6" s="369"/>
      <c r="S6" s="369"/>
      <c r="T6" s="483"/>
      <c r="U6" s="369"/>
      <c r="V6" s="369"/>
      <c r="W6" s="369"/>
      <c r="X6" s="369"/>
      <c r="Y6" s="369"/>
      <c r="Z6" s="369"/>
      <c r="AA6" s="369"/>
      <c r="AB6" s="369"/>
      <c r="AC6" s="369"/>
      <c r="AD6" s="369"/>
      <c r="AE6" s="369"/>
      <c r="AF6" s="369"/>
      <c r="AG6" s="369"/>
      <c r="AH6" s="369"/>
      <c r="AI6" s="369"/>
      <c r="AJ6" s="369"/>
      <c r="AK6" s="369"/>
      <c r="AL6" s="369"/>
      <c r="AM6" s="369"/>
      <c r="AN6" s="369"/>
      <c r="AO6" s="369"/>
      <c r="AP6" s="369"/>
      <c r="AQ6" s="369"/>
      <c r="AR6" s="369"/>
      <c r="AS6" s="369"/>
      <c r="AT6" s="369"/>
      <c r="AU6" s="369"/>
      <c r="AV6" s="369"/>
      <c r="AW6" s="369"/>
      <c r="AX6" s="369"/>
      <c r="AY6" s="369"/>
      <c r="AZ6" s="369"/>
      <c r="BA6" s="369"/>
      <c r="BB6" s="369"/>
      <c r="BC6" s="369"/>
      <c r="BD6" s="369"/>
      <c r="BE6" s="369"/>
      <c r="BF6" s="369"/>
      <c r="BG6" s="369"/>
      <c r="BH6" s="369"/>
      <c r="BI6" s="369"/>
      <c r="BJ6" s="369"/>
      <c r="BK6" s="369"/>
      <c r="BL6" s="369"/>
      <c r="BM6" s="369"/>
      <c r="BN6" s="369"/>
      <c r="BO6" s="369"/>
      <c r="BP6" s="369"/>
      <c r="BQ6" s="369"/>
      <c r="BR6" s="369"/>
      <c r="BS6" s="369"/>
      <c r="BT6" s="369"/>
      <c r="BU6" s="369"/>
      <c r="BV6" s="369"/>
      <c r="BW6" s="369"/>
      <c r="BX6" s="369"/>
      <c r="BY6" s="369"/>
      <c r="BZ6" s="369"/>
      <c r="CA6" s="369"/>
      <c r="CB6" s="369"/>
      <c r="CC6" s="369"/>
      <c r="CD6" s="369"/>
      <c r="CE6" s="369"/>
      <c r="CF6" s="369"/>
      <c r="CG6" s="369"/>
      <c r="CH6" s="369"/>
      <c r="CI6" s="369"/>
      <c r="CJ6" s="369"/>
      <c r="CK6" s="369"/>
      <c r="CL6" s="369"/>
      <c r="CM6" s="369"/>
      <c r="CN6" s="19"/>
      <c r="CO6" s="19"/>
      <c r="CP6" s="483"/>
      <c r="CQ6" s="480"/>
      <c r="CR6" s="480"/>
      <c r="CS6" s="369"/>
      <c r="CT6" s="369"/>
      <c r="CU6" s="483"/>
      <c r="CV6" s="369"/>
      <c r="CW6" s="369"/>
      <c r="CX6" s="369"/>
      <c r="CY6" s="369"/>
      <c r="CZ6" s="369"/>
      <c r="DA6" s="369"/>
      <c r="DB6" s="369"/>
      <c r="DC6" s="369"/>
      <c r="DD6" s="369"/>
      <c r="DE6" s="369"/>
      <c r="DF6" s="369"/>
      <c r="DG6" s="369"/>
      <c r="DH6" s="369"/>
      <c r="DI6" s="369"/>
      <c r="DJ6" s="369"/>
      <c r="DK6" s="369"/>
      <c r="DL6" s="369"/>
      <c r="DM6" s="369"/>
      <c r="DN6" s="369"/>
      <c r="DO6" s="369"/>
      <c r="DP6" s="369"/>
      <c r="DQ6" s="369"/>
      <c r="DR6" s="369"/>
      <c r="DS6" s="369"/>
      <c r="DT6" s="369"/>
      <c r="DU6" s="369"/>
      <c r="DV6" s="369"/>
      <c r="DW6" s="369"/>
      <c r="DX6" s="369"/>
      <c r="DY6" s="369"/>
      <c r="DZ6" s="369"/>
      <c r="EA6" s="369"/>
      <c r="EB6" s="369"/>
      <c r="EC6" s="369"/>
      <c r="ED6" s="369"/>
      <c r="EE6" s="369"/>
      <c r="EF6" s="369"/>
      <c r="EG6" s="369"/>
      <c r="EH6" s="369"/>
      <c r="EI6" s="369"/>
      <c r="EJ6" s="369"/>
      <c r="EK6" s="369"/>
      <c r="EL6" s="369"/>
      <c r="EM6" s="369"/>
      <c r="EN6" s="369"/>
      <c r="EO6" s="369"/>
      <c r="EP6" s="369"/>
      <c r="EQ6" s="369"/>
      <c r="ER6" s="369"/>
      <c r="ES6" s="369"/>
      <c r="ET6" s="369"/>
      <c r="EU6" s="369"/>
      <c r="EV6" s="369"/>
      <c r="EW6" s="369"/>
      <c r="EX6" s="369"/>
      <c r="EY6" s="369"/>
      <c r="EZ6" s="369"/>
      <c r="FA6" s="369"/>
      <c r="FB6" s="369"/>
      <c r="FC6" s="369"/>
      <c r="FD6" s="369"/>
      <c r="FE6" s="369"/>
      <c r="FF6" s="369"/>
      <c r="FG6" s="369"/>
      <c r="FH6" s="369"/>
      <c r="FI6" s="369"/>
      <c r="FJ6" s="369"/>
      <c r="FK6" s="369"/>
      <c r="FL6" s="369"/>
      <c r="FM6" s="369"/>
      <c r="FN6" s="369"/>
      <c r="FO6" s="369"/>
      <c r="FP6" s="373"/>
      <c r="FQ6" s="7"/>
    </row>
    <row r="7" customFormat="false" ht="22.5" hidden="false" customHeight="true" outlineLevel="0" collapsed="false">
      <c r="A7" s="7"/>
      <c r="B7" s="7"/>
      <c r="C7" s="470" t="s">
        <v>684</v>
      </c>
      <c r="D7" s="484" t="n">
        <f aca="false">SUM(K12:K37)</f>
        <v>173</v>
      </c>
      <c r="E7" s="484"/>
      <c r="F7" s="484"/>
      <c r="G7" s="7"/>
      <c r="H7" s="7"/>
      <c r="I7" s="7"/>
      <c r="J7" s="7"/>
      <c r="K7" s="364"/>
      <c r="L7" s="485" t="s">
        <v>587</v>
      </c>
      <c r="M7" s="19"/>
      <c r="N7" s="19"/>
      <c r="O7" s="19"/>
      <c r="P7" s="486"/>
      <c r="Q7" s="480"/>
      <c r="R7" s="369"/>
      <c r="S7" s="369"/>
      <c r="T7" s="369"/>
      <c r="U7" s="369"/>
      <c r="V7" s="369"/>
      <c r="W7" s="369"/>
      <c r="X7" s="369"/>
      <c r="Y7" s="369"/>
      <c r="Z7" s="369"/>
      <c r="AA7" s="369"/>
      <c r="AB7" s="369"/>
      <c r="AC7" s="369"/>
      <c r="AD7" s="369"/>
      <c r="AE7" s="369"/>
      <c r="AF7" s="369"/>
      <c r="AG7" s="369"/>
      <c r="AH7" s="369"/>
      <c r="AI7" s="369"/>
      <c r="AJ7" s="369"/>
      <c r="AK7" s="369"/>
      <c r="AL7" s="369"/>
      <c r="AM7" s="369"/>
      <c r="AN7" s="369"/>
      <c r="AO7" s="369"/>
      <c r="AP7" s="369"/>
      <c r="AQ7" s="369"/>
      <c r="AR7" s="369"/>
      <c r="AS7" s="369"/>
      <c r="AT7" s="369"/>
      <c r="AU7" s="369"/>
      <c r="AV7" s="369"/>
      <c r="AW7" s="369"/>
      <c r="AX7" s="369"/>
      <c r="AY7" s="369"/>
      <c r="AZ7" s="369"/>
      <c r="BA7" s="369"/>
      <c r="BB7" s="369"/>
      <c r="BC7" s="369"/>
      <c r="BD7" s="369"/>
      <c r="BE7" s="369"/>
      <c r="BF7" s="369"/>
      <c r="BG7" s="369"/>
      <c r="BH7" s="369"/>
      <c r="BI7" s="369"/>
      <c r="BJ7" s="369"/>
      <c r="BK7" s="369"/>
      <c r="BL7" s="369"/>
      <c r="BM7" s="369"/>
      <c r="BN7" s="369"/>
      <c r="BO7" s="369"/>
      <c r="BP7" s="369"/>
      <c r="BQ7" s="369"/>
      <c r="BR7" s="369"/>
      <c r="BS7" s="369"/>
      <c r="BT7" s="369"/>
      <c r="BU7" s="369"/>
      <c r="BV7" s="369"/>
      <c r="BW7" s="369"/>
      <c r="BX7" s="369"/>
      <c r="BY7" s="369"/>
      <c r="BZ7" s="369"/>
      <c r="CA7" s="369"/>
      <c r="CB7" s="369"/>
      <c r="CC7" s="369"/>
      <c r="CD7" s="369"/>
      <c r="CE7" s="369"/>
      <c r="CF7" s="369"/>
      <c r="CG7" s="369"/>
      <c r="CH7" s="369"/>
      <c r="CI7" s="369"/>
      <c r="CJ7" s="369"/>
      <c r="CK7" s="369"/>
      <c r="CL7" s="369"/>
      <c r="CM7" s="369"/>
      <c r="CN7" s="19"/>
      <c r="CO7" s="19"/>
      <c r="CP7" s="19"/>
      <c r="CQ7" s="486"/>
      <c r="CR7" s="480"/>
      <c r="CS7" s="369"/>
      <c r="CT7" s="369"/>
      <c r="CU7" s="369"/>
      <c r="CV7" s="369"/>
      <c r="CW7" s="369"/>
      <c r="CX7" s="369"/>
      <c r="CY7" s="369"/>
      <c r="CZ7" s="369"/>
      <c r="DA7" s="369"/>
      <c r="DB7" s="369"/>
      <c r="DC7" s="369"/>
      <c r="DD7" s="369"/>
      <c r="DE7" s="369"/>
      <c r="DF7" s="369"/>
      <c r="DG7" s="369"/>
      <c r="DH7" s="369"/>
      <c r="DI7" s="369"/>
      <c r="DJ7" s="369"/>
      <c r="DK7" s="369"/>
      <c r="DL7" s="369"/>
      <c r="DM7" s="369"/>
      <c r="DN7" s="369"/>
      <c r="DO7" s="369"/>
      <c r="DP7" s="369"/>
      <c r="DQ7" s="369"/>
      <c r="DR7" s="369"/>
      <c r="DS7" s="369"/>
      <c r="DT7" s="369"/>
      <c r="DU7" s="369"/>
      <c r="DV7" s="369"/>
      <c r="DW7" s="369"/>
      <c r="DX7" s="369"/>
      <c r="DY7" s="369"/>
      <c r="DZ7" s="369"/>
      <c r="EA7" s="369"/>
      <c r="EB7" s="369"/>
      <c r="EC7" s="369"/>
      <c r="ED7" s="369"/>
      <c r="EE7" s="369"/>
      <c r="EF7" s="369"/>
      <c r="EG7" s="369"/>
      <c r="EH7" s="369"/>
      <c r="EI7" s="369"/>
      <c r="EJ7" s="369"/>
      <c r="EK7" s="369"/>
      <c r="EL7" s="369"/>
      <c r="EM7" s="369"/>
      <c r="EN7" s="369"/>
      <c r="EO7" s="369"/>
      <c r="EP7" s="369"/>
      <c r="EQ7" s="369"/>
      <c r="ER7" s="369"/>
      <c r="ES7" s="369"/>
      <c r="ET7" s="369"/>
      <c r="EU7" s="369"/>
      <c r="EV7" s="369"/>
      <c r="EW7" s="369"/>
      <c r="EX7" s="369"/>
      <c r="EY7" s="369"/>
      <c r="EZ7" s="369"/>
      <c r="FA7" s="369"/>
      <c r="FB7" s="369"/>
      <c r="FC7" s="369"/>
      <c r="FD7" s="369"/>
      <c r="FE7" s="369"/>
      <c r="FF7" s="369"/>
      <c r="FG7" s="369"/>
      <c r="FH7" s="369"/>
      <c r="FI7" s="369"/>
      <c r="FJ7" s="369"/>
      <c r="FK7" s="369"/>
      <c r="FL7" s="369"/>
      <c r="FM7" s="369"/>
      <c r="FN7" s="369"/>
      <c r="FO7" s="369"/>
      <c r="FP7" s="373"/>
      <c r="FQ7" s="7"/>
    </row>
    <row r="8" customFormat="false" ht="22.5" hidden="false" customHeight="true" outlineLevel="0" collapsed="false">
      <c r="B8" s="28"/>
      <c r="G8" s="28"/>
      <c r="H8" s="28"/>
      <c r="I8" s="28"/>
      <c r="J8" s="363"/>
      <c r="K8" s="364"/>
      <c r="L8" s="487" t="s">
        <v>588</v>
      </c>
      <c r="M8" s="19"/>
      <c r="N8" s="19"/>
      <c r="O8" s="19"/>
      <c r="P8" s="480"/>
      <c r="Q8" s="488"/>
      <c r="R8" s="369"/>
      <c r="S8" s="369"/>
      <c r="T8" s="369"/>
      <c r="U8" s="369"/>
      <c r="V8" s="369"/>
      <c r="W8" s="369"/>
      <c r="X8" s="369"/>
      <c r="Y8" s="369"/>
      <c r="Z8" s="369"/>
      <c r="AA8" s="369"/>
      <c r="AB8" s="369"/>
      <c r="AC8" s="369"/>
      <c r="AD8" s="369"/>
      <c r="AE8" s="369"/>
      <c r="AF8" s="369"/>
      <c r="AG8" s="369"/>
      <c r="AH8" s="369"/>
      <c r="AI8" s="369"/>
      <c r="AJ8" s="369"/>
      <c r="AK8" s="369"/>
      <c r="AL8" s="369"/>
      <c r="AM8" s="369"/>
      <c r="AN8" s="369"/>
      <c r="AO8" s="369"/>
      <c r="AP8" s="369"/>
      <c r="AQ8" s="369"/>
      <c r="AR8" s="369"/>
      <c r="AS8" s="369"/>
      <c r="AT8" s="369"/>
      <c r="AU8" s="369"/>
      <c r="AV8" s="369"/>
      <c r="AW8" s="369"/>
      <c r="AX8" s="369"/>
      <c r="AY8" s="369"/>
      <c r="AZ8" s="369"/>
      <c r="BA8" s="369"/>
      <c r="BB8" s="369"/>
      <c r="BC8" s="369"/>
      <c r="BD8" s="369"/>
      <c r="BE8" s="369"/>
      <c r="BF8" s="489"/>
      <c r="BG8" s="489"/>
      <c r="BH8" s="489"/>
      <c r="BI8" s="489"/>
      <c r="BJ8" s="489"/>
      <c r="BK8" s="489"/>
      <c r="BL8" s="489"/>
      <c r="BM8" s="489"/>
      <c r="BN8" s="489"/>
      <c r="BO8" s="489"/>
      <c r="BP8" s="489"/>
      <c r="BQ8" s="489"/>
      <c r="BR8" s="489"/>
      <c r="BS8" s="489"/>
      <c r="BT8" s="489"/>
      <c r="BU8" s="489"/>
      <c r="BV8" s="489"/>
      <c r="BW8" s="489"/>
      <c r="BX8" s="489"/>
      <c r="BY8" s="489"/>
      <c r="BZ8" s="489"/>
      <c r="CA8" s="489"/>
      <c r="CB8" s="489"/>
      <c r="CC8" s="489"/>
      <c r="CD8" s="489"/>
      <c r="CE8" s="489"/>
      <c r="CF8" s="489"/>
      <c r="CG8" s="489"/>
      <c r="CH8" s="489"/>
      <c r="CI8" s="489"/>
      <c r="CJ8" s="489"/>
      <c r="CK8" s="489"/>
      <c r="CL8" s="489"/>
      <c r="CM8" s="489"/>
      <c r="CN8" s="19"/>
      <c r="CO8" s="19"/>
      <c r="CP8" s="19"/>
      <c r="CQ8" s="480"/>
      <c r="CR8" s="488"/>
      <c r="CS8" s="369"/>
      <c r="CT8" s="369"/>
      <c r="CU8" s="369"/>
      <c r="CV8" s="369"/>
      <c r="CW8" s="369"/>
      <c r="CX8" s="369"/>
      <c r="CY8" s="369"/>
      <c r="CZ8" s="369"/>
      <c r="DA8" s="369"/>
      <c r="DB8" s="369"/>
      <c r="DC8" s="369"/>
      <c r="DD8" s="369"/>
      <c r="DE8" s="369"/>
      <c r="DF8" s="369"/>
      <c r="DG8" s="369"/>
      <c r="DH8" s="369"/>
      <c r="DI8" s="369"/>
      <c r="DJ8" s="369"/>
      <c r="DK8" s="369"/>
      <c r="DL8" s="369"/>
      <c r="DM8" s="369"/>
      <c r="DN8" s="369"/>
      <c r="DO8" s="369"/>
      <c r="DP8" s="369"/>
      <c r="DQ8" s="369"/>
      <c r="DR8" s="369"/>
      <c r="DS8" s="369"/>
      <c r="DT8" s="369"/>
      <c r="DU8" s="369"/>
      <c r="DV8" s="369"/>
      <c r="DW8" s="369"/>
      <c r="DX8" s="369"/>
      <c r="DY8" s="369"/>
      <c r="DZ8" s="369"/>
      <c r="EA8" s="369"/>
      <c r="EB8" s="369"/>
      <c r="EC8" s="369"/>
      <c r="ED8" s="369"/>
      <c r="EE8" s="369"/>
      <c r="EF8" s="369"/>
      <c r="EG8" s="489"/>
      <c r="EH8" s="489"/>
      <c r="EI8" s="489"/>
      <c r="EJ8" s="489"/>
      <c r="EK8" s="489"/>
      <c r="EL8" s="489"/>
      <c r="EM8" s="489"/>
      <c r="EN8" s="489"/>
      <c r="EO8" s="489"/>
      <c r="EP8" s="489"/>
      <c r="EQ8" s="489"/>
      <c r="ER8" s="489"/>
      <c r="ES8" s="489"/>
      <c r="ET8" s="489"/>
      <c r="EU8" s="489"/>
      <c r="EV8" s="489"/>
      <c r="EW8" s="489"/>
      <c r="EX8" s="489"/>
      <c r="EY8" s="489"/>
      <c r="EZ8" s="489"/>
      <c r="FA8" s="489"/>
      <c r="FB8" s="489"/>
      <c r="FC8" s="489"/>
      <c r="FD8" s="489"/>
      <c r="FE8" s="489"/>
      <c r="FF8" s="489"/>
      <c r="FG8" s="489"/>
      <c r="FH8" s="489"/>
      <c r="FI8" s="489"/>
      <c r="FJ8" s="489"/>
      <c r="FK8" s="489"/>
      <c r="FL8" s="489"/>
      <c r="FM8" s="489"/>
      <c r="FN8" s="489"/>
      <c r="FO8" s="489"/>
      <c r="FP8" s="490"/>
      <c r="FQ8" s="7"/>
    </row>
    <row r="9" customFormat="false" ht="22.5" hidden="false" customHeight="true" outlineLevel="0" collapsed="false">
      <c r="B9" s="37" t="s">
        <v>589</v>
      </c>
      <c r="C9" s="378" t="s">
        <v>590</v>
      </c>
      <c r="D9" s="379" t="s">
        <v>591</v>
      </c>
      <c r="E9" s="40" t="s">
        <v>592</v>
      </c>
      <c r="F9" s="40"/>
      <c r="G9" s="40"/>
      <c r="H9" s="380" t="s">
        <v>22</v>
      </c>
      <c r="I9" s="43" t="s">
        <v>593</v>
      </c>
      <c r="J9" s="44" t="s">
        <v>594</v>
      </c>
      <c r="K9" s="381" t="s">
        <v>595</v>
      </c>
      <c r="L9" s="382" t="s">
        <v>596</v>
      </c>
      <c r="M9" s="383" t="s">
        <v>597</v>
      </c>
      <c r="N9" s="383"/>
      <c r="O9" s="383"/>
      <c r="P9" s="383"/>
      <c r="Q9" s="383"/>
      <c r="R9" s="384" t="s">
        <v>598</v>
      </c>
      <c r="S9" s="384"/>
      <c r="T9" s="384"/>
      <c r="U9" s="384"/>
      <c r="V9" s="384"/>
      <c r="W9" s="385" t="s">
        <v>599</v>
      </c>
      <c r="X9" s="385"/>
      <c r="Y9" s="385"/>
      <c r="Z9" s="385"/>
      <c r="AA9" s="385"/>
      <c r="AB9" s="385" t="s">
        <v>600</v>
      </c>
      <c r="AC9" s="385"/>
      <c r="AD9" s="385"/>
      <c r="AE9" s="385"/>
      <c r="AF9" s="385"/>
      <c r="AG9" s="387" t="s">
        <v>601</v>
      </c>
      <c r="AH9" s="387"/>
      <c r="AI9" s="387"/>
      <c r="AJ9" s="387"/>
      <c r="AK9" s="387"/>
      <c r="AL9" s="388" t="s">
        <v>602</v>
      </c>
      <c r="AM9" s="388"/>
      <c r="AN9" s="388"/>
      <c r="AO9" s="388"/>
      <c r="AP9" s="388"/>
      <c r="AQ9" s="388" t="s">
        <v>603</v>
      </c>
      <c r="AR9" s="388"/>
      <c r="AS9" s="388"/>
      <c r="AT9" s="388"/>
      <c r="AU9" s="388"/>
      <c r="AV9" s="388" t="s">
        <v>604</v>
      </c>
      <c r="AW9" s="388"/>
      <c r="AX9" s="388"/>
      <c r="AY9" s="388"/>
      <c r="AZ9" s="388"/>
      <c r="BA9" s="391" t="s">
        <v>605</v>
      </c>
      <c r="BB9" s="391"/>
      <c r="BC9" s="391"/>
      <c r="BD9" s="391"/>
      <c r="BE9" s="391"/>
      <c r="BF9" s="391" t="s">
        <v>605</v>
      </c>
      <c r="BG9" s="391"/>
      <c r="BH9" s="391"/>
      <c r="BI9" s="391"/>
      <c r="BJ9" s="391"/>
      <c r="BK9" s="391" t="s">
        <v>606</v>
      </c>
      <c r="BL9" s="391"/>
      <c r="BM9" s="391"/>
      <c r="BN9" s="391"/>
      <c r="BO9" s="391"/>
      <c r="BP9" s="391" t="s">
        <v>607</v>
      </c>
      <c r="BQ9" s="391"/>
      <c r="BR9" s="391"/>
      <c r="BS9" s="391"/>
      <c r="BT9" s="391"/>
      <c r="BU9" s="491" t="s">
        <v>608</v>
      </c>
      <c r="BV9" s="491"/>
      <c r="BW9" s="491"/>
      <c r="BX9" s="491"/>
      <c r="BY9" s="491"/>
      <c r="BZ9" s="491" t="s">
        <v>685</v>
      </c>
      <c r="CA9" s="491"/>
      <c r="CB9" s="491"/>
      <c r="CC9" s="491"/>
      <c r="CD9" s="491"/>
      <c r="CE9" s="491" t="s">
        <v>686</v>
      </c>
      <c r="CF9" s="491"/>
      <c r="CG9" s="491"/>
      <c r="CH9" s="491"/>
      <c r="CI9" s="491"/>
      <c r="CJ9" s="491" t="s">
        <v>687</v>
      </c>
      <c r="CK9" s="491"/>
      <c r="CL9" s="491"/>
      <c r="CM9" s="491"/>
      <c r="CN9" s="491"/>
      <c r="CO9" s="492" t="s">
        <v>688</v>
      </c>
      <c r="CP9" s="492"/>
      <c r="CQ9" s="492"/>
      <c r="CR9" s="492"/>
      <c r="CS9" s="492"/>
      <c r="CT9" s="492" t="s">
        <v>689</v>
      </c>
      <c r="CU9" s="492"/>
      <c r="CV9" s="492"/>
      <c r="CW9" s="492"/>
      <c r="CX9" s="492"/>
      <c r="CY9" s="492" t="s">
        <v>690</v>
      </c>
      <c r="CZ9" s="492"/>
      <c r="DA9" s="492"/>
      <c r="DB9" s="492"/>
      <c r="DC9" s="492"/>
      <c r="DD9" s="492" t="s">
        <v>691</v>
      </c>
      <c r="DE9" s="492"/>
      <c r="DF9" s="492"/>
      <c r="DG9" s="492"/>
      <c r="DH9" s="492"/>
      <c r="DI9" s="35" t="s">
        <v>692</v>
      </c>
      <c r="DJ9" s="35"/>
      <c r="DK9" s="35"/>
      <c r="DL9" s="35"/>
      <c r="DM9" s="35"/>
      <c r="DN9" s="35" t="s">
        <v>693</v>
      </c>
      <c r="DO9" s="35"/>
      <c r="DP9" s="35"/>
      <c r="DQ9" s="35"/>
      <c r="DR9" s="35"/>
      <c r="DS9" s="35" t="s">
        <v>694</v>
      </c>
      <c r="DT9" s="35"/>
      <c r="DU9" s="35"/>
      <c r="DV9" s="35"/>
      <c r="DW9" s="35"/>
      <c r="DX9" s="35" t="s">
        <v>695</v>
      </c>
      <c r="DY9" s="35"/>
      <c r="DZ9" s="35"/>
      <c r="EA9" s="35"/>
      <c r="EB9" s="35"/>
      <c r="EC9" s="493" t="s">
        <v>692</v>
      </c>
      <c r="ED9" s="493"/>
      <c r="EE9" s="493"/>
      <c r="EF9" s="493"/>
      <c r="EG9" s="493"/>
      <c r="EH9" s="493" t="s">
        <v>693</v>
      </c>
      <c r="EI9" s="493"/>
      <c r="EJ9" s="493"/>
      <c r="EK9" s="493"/>
      <c r="EL9" s="493"/>
      <c r="EM9" s="493" t="s">
        <v>694</v>
      </c>
      <c r="EN9" s="493"/>
      <c r="EO9" s="493"/>
      <c r="EP9" s="493"/>
      <c r="EQ9" s="493"/>
      <c r="ER9" s="493" t="s">
        <v>695</v>
      </c>
      <c r="ES9" s="493"/>
      <c r="ET9" s="493"/>
      <c r="EU9" s="493"/>
      <c r="EV9" s="493"/>
      <c r="EW9" s="494" t="s">
        <v>695</v>
      </c>
      <c r="EX9" s="494"/>
      <c r="EY9" s="494"/>
      <c r="EZ9" s="494"/>
      <c r="FA9" s="494"/>
      <c r="FB9" s="494" t="s">
        <v>695</v>
      </c>
      <c r="FC9" s="494"/>
      <c r="FD9" s="494"/>
      <c r="FE9" s="494"/>
      <c r="FF9" s="494"/>
      <c r="FG9" s="494" t="s">
        <v>695</v>
      </c>
      <c r="FH9" s="494"/>
      <c r="FI9" s="494"/>
      <c r="FJ9" s="494"/>
      <c r="FK9" s="494"/>
      <c r="FL9" s="494" t="s">
        <v>695</v>
      </c>
      <c r="FM9" s="494"/>
      <c r="FN9" s="494"/>
      <c r="FO9" s="494"/>
      <c r="FP9" s="494"/>
      <c r="FQ9" s="7"/>
    </row>
    <row r="10" customFormat="false" ht="22.5" hidden="false" customHeight="true" outlineLevel="0" collapsed="false">
      <c r="B10" s="37"/>
      <c r="C10" s="378"/>
      <c r="D10" s="379"/>
      <c r="E10" s="51" t="s">
        <v>609</v>
      </c>
      <c r="F10" s="52" t="s">
        <v>610</v>
      </c>
      <c r="G10" s="53" t="s">
        <v>611</v>
      </c>
      <c r="H10" s="380"/>
      <c r="I10" s="43"/>
      <c r="J10" s="44"/>
      <c r="K10" s="44"/>
      <c r="L10" s="382"/>
      <c r="M10" s="495" t="s">
        <v>696</v>
      </c>
      <c r="N10" s="496" t="s">
        <v>612</v>
      </c>
      <c r="O10" s="496" t="s">
        <v>697</v>
      </c>
      <c r="P10" s="496" t="s">
        <v>698</v>
      </c>
      <c r="Q10" s="496" t="s">
        <v>699</v>
      </c>
      <c r="R10" s="495" t="s">
        <v>696</v>
      </c>
      <c r="S10" s="496" t="s">
        <v>612</v>
      </c>
      <c r="T10" s="496" t="s">
        <v>697</v>
      </c>
      <c r="U10" s="496" t="s">
        <v>698</v>
      </c>
      <c r="V10" s="496" t="s">
        <v>699</v>
      </c>
      <c r="W10" s="495" t="s">
        <v>696</v>
      </c>
      <c r="X10" s="496" t="s">
        <v>612</v>
      </c>
      <c r="Y10" s="496" t="s">
        <v>697</v>
      </c>
      <c r="Z10" s="496" t="s">
        <v>698</v>
      </c>
      <c r="AA10" s="496" t="s">
        <v>699</v>
      </c>
      <c r="AB10" s="495" t="s">
        <v>696</v>
      </c>
      <c r="AC10" s="496" t="s">
        <v>612</v>
      </c>
      <c r="AD10" s="496" t="s">
        <v>697</v>
      </c>
      <c r="AE10" s="496" t="s">
        <v>698</v>
      </c>
      <c r="AF10" s="496" t="s">
        <v>699</v>
      </c>
      <c r="AG10" s="497" t="s">
        <v>696</v>
      </c>
      <c r="AH10" s="497" t="s">
        <v>612</v>
      </c>
      <c r="AI10" s="497" t="s">
        <v>697</v>
      </c>
      <c r="AJ10" s="497" t="s">
        <v>698</v>
      </c>
      <c r="AK10" s="497" t="s">
        <v>699</v>
      </c>
      <c r="AL10" s="497" t="s">
        <v>696</v>
      </c>
      <c r="AM10" s="497" t="s">
        <v>612</v>
      </c>
      <c r="AN10" s="497" t="s">
        <v>697</v>
      </c>
      <c r="AO10" s="497" t="s">
        <v>698</v>
      </c>
      <c r="AP10" s="497" t="s">
        <v>699</v>
      </c>
      <c r="AQ10" s="497" t="s">
        <v>696</v>
      </c>
      <c r="AR10" s="497" t="s">
        <v>612</v>
      </c>
      <c r="AS10" s="497" t="s">
        <v>697</v>
      </c>
      <c r="AT10" s="497" t="s">
        <v>698</v>
      </c>
      <c r="AU10" s="497" t="s">
        <v>699</v>
      </c>
      <c r="AV10" s="497" t="s">
        <v>696</v>
      </c>
      <c r="AW10" s="497" t="s">
        <v>612</v>
      </c>
      <c r="AX10" s="497" t="s">
        <v>697</v>
      </c>
      <c r="AY10" s="497" t="s">
        <v>698</v>
      </c>
      <c r="AZ10" s="497" t="s">
        <v>699</v>
      </c>
      <c r="BA10" s="498" t="s">
        <v>696</v>
      </c>
      <c r="BB10" s="498" t="s">
        <v>612</v>
      </c>
      <c r="BC10" s="498" t="s">
        <v>697</v>
      </c>
      <c r="BD10" s="498" t="s">
        <v>698</v>
      </c>
      <c r="BE10" s="499" t="s">
        <v>699</v>
      </c>
      <c r="BF10" s="498" t="s">
        <v>696</v>
      </c>
      <c r="BG10" s="498" t="s">
        <v>612</v>
      </c>
      <c r="BH10" s="498" t="s">
        <v>697</v>
      </c>
      <c r="BI10" s="498" t="s">
        <v>698</v>
      </c>
      <c r="BJ10" s="499" t="s">
        <v>699</v>
      </c>
      <c r="BK10" s="498" t="s">
        <v>696</v>
      </c>
      <c r="BL10" s="498" t="s">
        <v>612</v>
      </c>
      <c r="BM10" s="498" t="s">
        <v>697</v>
      </c>
      <c r="BN10" s="498" t="s">
        <v>698</v>
      </c>
      <c r="BO10" s="499" t="s">
        <v>699</v>
      </c>
      <c r="BP10" s="498" t="s">
        <v>696</v>
      </c>
      <c r="BQ10" s="498" t="s">
        <v>612</v>
      </c>
      <c r="BR10" s="498" t="s">
        <v>697</v>
      </c>
      <c r="BS10" s="498" t="s">
        <v>698</v>
      </c>
      <c r="BT10" s="499" t="s">
        <v>699</v>
      </c>
      <c r="BU10" s="500" t="s">
        <v>696</v>
      </c>
      <c r="BV10" s="500" t="s">
        <v>612</v>
      </c>
      <c r="BW10" s="500" t="s">
        <v>697</v>
      </c>
      <c r="BX10" s="500" t="s">
        <v>698</v>
      </c>
      <c r="BY10" s="501" t="s">
        <v>699</v>
      </c>
      <c r="BZ10" s="500" t="s">
        <v>696</v>
      </c>
      <c r="CA10" s="500" t="s">
        <v>612</v>
      </c>
      <c r="CB10" s="500" t="s">
        <v>697</v>
      </c>
      <c r="CC10" s="500" t="s">
        <v>698</v>
      </c>
      <c r="CD10" s="501" t="s">
        <v>699</v>
      </c>
      <c r="CE10" s="500" t="s">
        <v>696</v>
      </c>
      <c r="CF10" s="500" t="s">
        <v>612</v>
      </c>
      <c r="CG10" s="500" t="s">
        <v>697</v>
      </c>
      <c r="CH10" s="500" t="s">
        <v>698</v>
      </c>
      <c r="CI10" s="501" t="s">
        <v>699</v>
      </c>
      <c r="CJ10" s="500" t="s">
        <v>696</v>
      </c>
      <c r="CK10" s="500" t="s">
        <v>612</v>
      </c>
      <c r="CL10" s="500" t="s">
        <v>697</v>
      </c>
      <c r="CM10" s="500" t="s">
        <v>698</v>
      </c>
      <c r="CN10" s="501" t="s">
        <v>699</v>
      </c>
      <c r="CO10" s="502" t="s">
        <v>696</v>
      </c>
      <c r="CP10" s="502" t="s">
        <v>612</v>
      </c>
      <c r="CQ10" s="502" t="s">
        <v>697</v>
      </c>
      <c r="CR10" s="502" t="s">
        <v>698</v>
      </c>
      <c r="CS10" s="503" t="s">
        <v>699</v>
      </c>
      <c r="CT10" s="502" t="s">
        <v>696</v>
      </c>
      <c r="CU10" s="502" t="s">
        <v>612</v>
      </c>
      <c r="CV10" s="502" t="s">
        <v>697</v>
      </c>
      <c r="CW10" s="502" t="s">
        <v>698</v>
      </c>
      <c r="CX10" s="503" t="s">
        <v>699</v>
      </c>
      <c r="CY10" s="502" t="s">
        <v>696</v>
      </c>
      <c r="CZ10" s="502" t="s">
        <v>612</v>
      </c>
      <c r="DA10" s="502" t="s">
        <v>697</v>
      </c>
      <c r="DB10" s="502" t="s">
        <v>698</v>
      </c>
      <c r="DC10" s="503" t="s">
        <v>699</v>
      </c>
      <c r="DD10" s="502" t="s">
        <v>696</v>
      </c>
      <c r="DE10" s="502" t="s">
        <v>612</v>
      </c>
      <c r="DF10" s="502" t="s">
        <v>697</v>
      </c>
      <c r="DG10" s="502" t="s">
        <v>698</v>
      </c>
      <c r="DH10" s="503" t="s">
        <v>699</v>
      </c>
      <c r="DI10" s="504" t="s">
        <v>696</v>
      </c>
      <c r="DJ10" s="504" t="s">
        <v>612</v>
      </c>
      <c r="DK10" s="504" t="s">
        <v>697</v>
      </c>
      <c r="DL10" s="504" t="s">
        <v>698</v>
      </c>
      <c r="DM10" s="505" t="s">
        <v>699</v>
      </c>
      <c r="DN10" s="504" t="s">
        <v>696</v>
      </c>
      <c r="DO10" s="504" t="s">
        <v>612</v>
      </c>
      <c r="DP10" s="504" t="s">
        <v>697</v>
      </c>
      <c r="DQ10" s="504" t="s">
        <v>698</v>
      </c>
      <c r="DR10" s="505" t="s">
        <v>699</v>
      </c>
      <c r="DS10" s="504" t="s">
        <v>696</v>
      </c>
      <c r="DT10" s="504" t="s">
        <v>612</v>
      </c>
      <c r="DU10" s="504" t="s">
        <v>697</v>
      </c>
      <c r="DV10" s="504" t="s">
        <v>698</v>
      </c>
      <c r="DW10" s="505" t="s">
        <v>699</v>
      </c>
      <c r="DX10" s="504" t="s">
        <v>696</v>
      </c>
      <c r="DY10" s="504" t="s">
        <v>612</v>
      </c>
      <c r="DZ10" s="504" t="s">
        <v>697</v>
      </c>
      <c r="EA10" s="504" t="s">
        <v>698</v>
      </c>
      <c r="EB10" s="505" t="s">
        <v>699</v>
      </c>
      <c r="EC10" s="506" t="s">
        <v>696</v>
      </c>
      <c r="ED10" s="506" t="s">
        <v>612</v>
      </c>
      <c r="EE10" s="506" t="s">
        <v>697</v>
      </c>
      <c r="EF10" s="506" t="s">
        <v>698</v>
      </c>
      <c r="EG10" s="507" t="s">
        <v>699</v>
      </c>
      <c r="EH10" s="506" t="s">
        <v>696</v>
      </c>
      <c r="EI10" s="506" t="s">
        <v>612</v>
      </c>
      <c r="EJ10" s="506" t="s">
        <v>697</v>
      </c>
      <c r="EK10" s="506" t="s">
        <v>698</v>
      </c>
      <c r="EL10" s="507" t="s">
        <v>699</v>
      </c>
      <c r="EM10" s="506" t="s">
        <v>696</v>
      </c>
      <c r="EN10" s="506" t="s">
        <v>612</v>
      </c>
      <c r="EO10" s="506" t="s">
        <v>697</v>
      </c>
      <c r="EP10" s="506" t="s">
        <v>698</v>
      </c>
      <c r="EQ10" s="507" t="s">
        <v>699</v>
      </c>
      <c r="ER10" s="506" t="s">
        <v>696</v>
      </c>
      <c r="ES10" s="506" t="s">
        <v>612</v>
      </c>
      <c r="ET10" s="506" t="s">
        <v>697</v>
      </c>
      <c r="EU10" s="506" t="s">
        <v>698</v>
      </c>
      <c r="EV10" s="507" t="s">
        <v>699</v>
      </c>
      <c r="EW10" s="508" t="s">
        <v>696</v>
      </c>
      <c r="EX10" s="508" t="s">
        <v>612</v>
      </c>
      <c r="EY10" s="508" t="s">
        <v>697</v>
      </c>
      <c r="EZ10" s="508" t="s">
        <v>698</v>
      </c>
      <c r="FA10" s="509" t="s">
        <v>699</v>
      </c>
      <c r="FB10" s="508" t="s">
        <v>696</v>
      </c>
      <c r="FC10" s="508" t="s">
        <v>612</v>
      </c>
      <c r="FD10" s="508" t="s">
        <v>697</v>
      </c>
      <c r="FE10" s="508" t="s">
        <v>698</v>
      </c>
      <c r="FF10" s="509" t="s">
        <v>699</v>
      </c>
      <c r="FG10" s="508" t="s">
        <v>696</v>
      </c>
      <c r="FH10" s="508" t="s">
        <v>612</v>
      </c>
      <c r="FI10" s="508" t="s">
        <v>697</v>
      </c>
      <c r="FJ10" s="508" t="s">
        <v>698</v>
      </c>
      <c r="FK10" s="509" t="s">
        <v>699</v>
      </c>
      <c r="FL10" s="508" t="s">
        <v>696</v>
      </c>
      <c r="FM10" s="508" t="s">
        <v>612</v>
      </c>
      <c r="FN10" s="508" t="s">
        <v>697</v>
      </c>
      <c r="FO10" s="508" t="s">
        <v>698</v>
      </c>
      <c r="FP10" s="509" t="s">
        <v>699</v>
      </c>
      <c r="FQ10" s="7"/>
    </row>
    <row r="11" customFormat="false" ht="22.5" hidden="false" customHeight="true" outlineLevel="0" collapsed="false">
      <c r="B11" s="56" t="n">
        <v>1</v>
      </c>
      <c r="C11" s="57" t="s">
        <v>700</v>
      </c>
      <c r="D11" s="510"/>
      <c r="E11" s="511" t="n">
        <f aca="false">SUM(E12:E18)</f>
        <v>50</v>
      </c>
      <c r="F11" s="512" t="n">
        <f aca="false">SUM(F12:F18)</f>
        <v>44</v>
      </c>
      <c r="G11" s="513" t="n">
        <f aca="false">SUM(G12:G18)</f>
        <v>6</v>
      </c>
      <c r="H11" s="514"/>
      <c r="I11" s="515"/>
      <c r="J11" s="516"/>
      <c r="K11" s="517"/>
      <c r="L11" s="518" t="n">
        <f aca="false">IFERROR(F11/E11,"")</f>
        <v>0.88</v>
      </c>
      <c r="M11" s="519"/>
      <c r="N11" s="69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520"/>
      <c r="AG11" s="521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520"/>
      <c r="BA11" s="521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520"/>
      <c r="BU11" s="521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520"/>
      <c r="CO11" s="521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520"/>
      <c r="DI11" s="521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520"/>
      <c r="EC11" s="521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520"/>
      <c r="EW11" s="521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522"/>
      <c r="FQ11" s="7"/>
    </row>
    <row r="12" customFormat="false" ht="22.5" hidden="false" customHeight="true" outlineLevel="0" collapsed="false">
      <c r="B12" s="75" t="n">
        <v>1.1</v>
      </c>
      <c r="C12" s="147"/>
      <c r="D12" s="127"/>
      <c r="E12" s="139" t="n">
        <v>5</v>
      </c>
      <c r="F12" s="140" t="n">
        <v>5</v>
      </c>
      <c r="G12" s="141" t="n">
        <f aca="false">E12-F12</f>
        <v>0</v>
      </c>
      <c r="H12" s="166" t="n">
        <v>1</v>
      </c>
      <c r="I12" s="149" t="n">
        <v>46093</v>
      </c>
      <c r="J12" s="144" t="n">
        <v>46095</v>
      </c>
      <c r="K12" s="143" t="n">
        <f aca="false">J12-I12</f>
        <v>2</v>
      </c>
      <c r="L12" s="136" t="n">
        <f aca="false">IFERROR(F12/E12,"")</f>
        <v>1</v>
      </c>
      <c r="M12" s="523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426"/>
      <c r="AG12" s="523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426"/>
      <c r="BA12" s="523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426"/>
      <c r="BU12" s="523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426"/>
      <c r="CO12" s="523"/>
      <c r="CP12" s="88"/>
      <c r="CQ12" s="88"/>
      <c r="CR12" s="88"/>
      <c r="CS12" s="88"/>
      <c r="CT12" s="88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426"/>
      <c r="DI12" s="523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88"/>
      <c r="DV12" s="88"/>
      <c r="DW12" s="88"/>
      <c r="DX12" s="88"/>
      <c r="DY12" s="88"/>
      <c r="DZ12" s="88"/>
      <c r="EA12" s="88"/>
      <c r="EB12" s="426"/>
      <c r="EC12" s="523"/>
      <c r="ED12" s="88"/>
      <c r="EE12" s="88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426"/>
      <c r="EW12" s="523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8"/>
      <c r="FJ12" s="88"/>
      <c r="FK12" s="88"/>
      <c r="FL12" s="88"/>
      <c r="FM12" s="88"/>
      <c r="FN12" s="88"/>
      <c r="FO12" s="88"/>
      <c r="FP12" s="524"/>
      <c r="FQ12" s="7"/>
    </row>
    <row r="13" customFormat="false" ht="22.5" hidden="false" customHeight="true" outlineLevel="0" collapsed="false">
      <c r="B13" s="75" t="s">
        <v>620</v>
      </c>
      <c r="C13" s="147"/>
      <c r="D13" s="127"/>
      <c r="E13" s="139" t="n">
        <v>8</v>
      </c>
      <c r="F13" s="140" t="n">
        <v>2</v>
      </c>
      <c r="G13" s="141" t="n">
        <f aca="false">E13-F13</f>
        <v>6</v>
      </c>
      <c r="H13" s="166" t="n">
        <v>2</v>
      </c>
      <c r="I13" s="149" t="n">
        <v>46095</v>
      </c>
      <c r="J13" s="144" t="n">
        <v>46099</v>
      </c>
      <c r="K13" s="143" t="n">
        <f aca="false">J13-I13</f>
        <v>4</v>
      </c>
      <c r="L13" s="136" t="n">
        <f aca="false">IFERROR(F13/E13,"")</f>
        <v>0.25</v>
      </c>
      <c r="M13" s="87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426"/>
      <c r="AG13" s="87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426"/>
      <c r="BA13" s="87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426"/>
      <c r="BU13" s="87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426"/>
      <c r="CO13" s="87"/>
      <c r="CP13" s="88"/>
      <c r="CQ13" s="88"/>
      <c r="CR13" s="88"/>
      <c r="CS13" s="88"/>
      <c r="CT13" s="88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426"/>
      <c r="DI13" s="87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88"/>
      <c r="DV13" s="88"/>
      <c r="DW13" s="88"/>
      <c r="DX13" s="88"/>
      <c r="DY13" s="88"/>
      <c r="DZ13" s="88"/>
      <c r="EA13" s="88"/>
      <c r="EB13" s="426"/>
      <c r="EC13" s="87"/>
      <c r="ED13" s="88"/>
      <c r="EE13" s="88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426"/>
      <c r="EW13" s="87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8"/>
      <c r="FJ13" s="88"/>
      <c r="FK13" s="88"/>
      <c r="FL13" s="88"/>
      <c r="FM13" s="88"/>
      <c r="FN13" s="88"/>
      <c r="FO13" s="88"/>
      <c r="FP13" s="524"/>
      <c r="FQ13" s="362"/>
    </row>
    <row r="14" customFormat="false" ht="22.5" hidden="false" customHeight="true" outlineLevel="0" collapsed="false">
      <c r="B14" s="75" t="n">
        <v>1.2</v>
      </c>
      <c r="C14" s="147"/>
      <c r="D14" s="127"/>
      <c r="E14" s="139" t="n">
        <v>14</v>
      </c>
      <c r="F14" s="140" t="n">
        <v>14</v>
      </c>
      <c r="G14" s="141" t="n">
        <f aca="false">E14-F14</f>
        <v>0</v>
      </c>
      <c r="H14" s="166" t="n">
        <v>2</v>
      </c>
      <c r="I14" s="149" t="n">
        <v>46101</v>
      </c>
      <c r="J14" s="144" t="n">
        <v>46115</v>
      </c>
      <c r="K14" s="143" t="n">
        <f aca="false">J14-I14</f>
        <v>14</v>
      </c>
      <c r="L14" s="136" t="n">
        <f aca="false">IFERROR(F14/E14,"")</f>
        <v>1</v>
      </c>
      <c r="M14" s="87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426"/>
      <c r="AG14" s="87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426"/>
      <c r="BA14" s="87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426"/>
      <c r="BU14" s="87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426"/>
      <c r="CO14" s="87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426"/>
      <c r="DI14" s="87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426"/>
      <c r="EC14" s="87"/>
      <c r="ED14" s="88"/>
      <c r="EE14" s="88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426"/>
      <c r="EW14" s="87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8"/>
      <c r="FJ14" s="88"/>
      <c r="FK14" s="88"/>
      <c r="FL14" s="88"/>
      <c r="FM14" s="88"/>
      <c r="FN14" s="88"/>
      <c r="FO14" s="88"/>
      <c r="FP14" s="524"/>
      <c r="FQ14" s="362"/>
    </row>
    <row r="15" customFormat="false" ht="22.5" hidden="false" customHeight="true" outlineLevel="0" collapsed="false">
      <c r="B15" s="75" t="n">
        <v>1.3</v>
      </c>
      <c r="C15" s="147"/>
      <c r="D15" s="127"/>
      <c r="E15" s="139" t="n">
        <v>6</v>
      </c>
      <c r="F15" s="140" t="n">
        <v>6</v>
      </c>
      <c r="G15" s="141" t="n">
        <f aca="false">E15-F15</f>
        <v>0</v>
      </c>
      <c r="H15" s="166" t="n">
        <v>3</v>
      </c>
      <c r="I15" s="149" t="n">
        <v>46115</v>
      </c>
      <c r="J15" s="144" t="n">
        <v>46122</v>
      </c>
      <c r="K15" s="143" t="n">
        <f aca="false">J15-I15</f>
        <v>7</v>
      </c>
      <c r="L15" s="136" t="n">
        <f aca="false">IFERROR(F15/E15,"")</f>
        <v>1</v>
      </c>
      <c r="M15" s="87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426"/>
      <c r="AG15" s="87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426"/>
      <c r="BA15" s="87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426"/>
      <c r="BU15" s="87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426"/>
      <c r="CO15" s="87"/>
      <c r="CP15" s="88"/>
      <c r="CQ15" s="88"/>
      <c r="CR15" s="88"/>
      <c r="CS15" s="88"/>
      <c r="CT15" s="88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426"/>
      <c r="DI15" s="87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88"/>
      <c r="DV15" s="88"/>
      <c r="DW15" s="88"/>
      <c r="DX15" s="88"/>
      <c r="DY15" s="88"/>
      <c r="DZ15" s="88"/>
      <c r="EA15" s="88"/>
      <c r="EB15" s="426"/>
      <c r="EC15" s="87"/>
      <c r="ED15" s="88"/>
      <c r="EE15" s="88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426"/>
      <c r="EW15" s="87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8"/>
      <c r="FJ15" s="88"/>
      <c r="FK15" s="88"/>
      <c r="FL15" s="88"/>
      <c r="FM15" s="88"/>
      <c r="FN15" s="88"/>
      <c r="FO15" s="88"/>
      <c r="FP15" s="524"/>
      <c r="FQ15" s="362"/>
    </row>
    <row r="16" customFormat="false" ht="22.5" hidden="false" customHeight="true" outlineLevel="0" collapsed="false">
      <c r="B16" s="75" t="n">
        <v>1.4</v>
      </c>
      <c r="C16" s="147"/>
      <c r="D16" s="127"/>
      <c r="E16" s="139" t="n">
        <v>7</v>
      </c>
      <c r="F16" s="140" t="n">
        <v>7</v>
      </c>
      <c r="G16" s="141" t="n">
        <f aca="false">E16-F16</f>
        <v>0</v>
      </c>
      <c r="H16" s="166" t="n">
        <v>3</v>
      </c>
      <c r="I16" s="149" t="n">
        <v>46123</v>
      </c>
      <c r="J16" s="144" t="n">
        <v>46130</v>
      </c>
      <c r="K16" s="143" t="n">
        <f aca="false">J16-I16</f>
        <v>7</v>
      </c>
      <c r="L16" s="136" t="n">
        <f aca="false">IFERROR(F16/E16,"")</f>
        <v>1</v>
      </c>
      <c r="M16" s="87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426"/>
      <c r="AG16" s="87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426"/>
      <c r="BA16" s="87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426"/>
      <c r="BU16" s="87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426"/>
      <c r="CO16" s="87"/>
      <c r="CP16" s="88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426"/>
      <c r="DI16" s="87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88"/>
      <c r="DV16" s="88"/>
      <c r="DW16" s="88"/>
      <c r="DX16" s="88"/>
      <c r="DY16" s="88"/>
      <c r="DZ16" s="88"/>
      <c r="EA16" s="88"/>
      <c r="EB16" s="426"/>
      <c r="EC16" s="87"/>
      <c r="ED16" s="88"/>
      <c r="EE16" s="88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426"/>
      <c r="EW16" s="87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8"/>
      <c r="FJ16" s="88"/>
      <c r="FK16" s="88"/>
      <c r="FL16" s="88"/>
      <c r="FM16" s="88"/>
      <c r="FN16" s="88"/>
      <c r="FO16" s="88"/>
      <c r="FP16" s="524"/>
      <c r="FQ16" s="362"/>
    </row>
    <row r="17" customFormat="false" ht="22.5" hidden="false" customHeight="true" outlineLevel="0" collapsed="false">
      <c r="B17" s="75" t="n">
        <v>1.5</v>
      </c>
      <c r="C17" s="147"/>
      <c r="D17" s="127"/>
      <c r="E17" s="139" t="n">
        <v>8</v>
      </c>
      <c r="F17" s="140" t="n">
        <v>8</v>
      </c>
      <c r="G17" s="141" t="n">
        <f aca="false">E17-F17</f>
        <v>0</v>
      </c>
      <c r="H17" s="166" t="n">
        <v>4</v>
      </c>
      <c r="I17" s="149" t="n">
        <v>46131</v>
      </c>
      <c r="J17" s="144" t="n">
        <v>46136</v>
      </c>
      <c r="K17" s="143" t="n">
        <f aca="false">J17-I17</f>
        <v>5</v>
      </c>
      <c r="L17" s="136" t="n">
        <f aca="false">IFERROR(F17/E17,"")</f>
        <v>1</v>
      </c>
      <c r="M17" s="87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426"/>
      <c r="AG17" s="87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426"/>
      <c r="BA17" s="87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426"/>
      <c r="BU17" s="87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426"/>
      <c r="CO17" s="87"/>
      <c r="CP17" s="88"/>
      <c r="CQ17" s="88"/>
      <c r="CR17" s="88"/>
      <c r="CS17" s="88"/>
      <c r="CT17" s="88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426"/>
      <c r="DI17" s="87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88"/>
      <c r="DV17" s="88"/>
      <c r="DW17" s="88"/>
      <c r="DX17" s="88"/>
      <c r="DY17" s="88"/>
      <c r="DZ17" s="88"/>
      <c r="EA17" s="88"/>
      <c r="EB17" s="426"/>
      <c r="EC17" s="87"/>
      <c r="ED17" s="88"/>
      <c r="EE17" s="88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426"/>
      <c r="EW17" s="87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8"/>
      <c r="FJ17" s="88"/>
      <c r="FK17" s="88"/>
      <c r="FL17" s="88"/>
      <c r="FM17" s="88"/>
      <c r="FN17" s="88"/>
      <c r="FO17" s="88"/>
      <c r="FP17" s="524"/>
      <c r="FQ17" s="362"/>
    </row>
    <row r="18" customFormat="false" ht="22.5" hidden="false" customHeight="true" outlineLevel="0" collapsed="false">
      <c r="B18" s="75" t="n">
        <v>1.6</v>
      </c>
      <c r="C18" s="147"/>
      <c r="D18" s="127"/>
      <c r="E18" s="139" t="n">
        <v>2</v>
      </c>
      <c r="F18" s="140" t="n">
        <v>2</v>
      </c>
      <c r="G18" s="141" t="n">
        <f aca="false">E18-F18</f>
        <v>0</v>
      </c>
      <c r="H18" s="166" t="n">
        <v>4</v>
      </c>
      <c r="I18" s="149" t="n">
        <v>46137</v>
      </c>
      <c r="J18" s="144" t="n">
        <v>46152</v>
      </c>
      <c r="K18" s="143" t="n">
        <f aca="false">J18-I18</f>
        <v>15</v>
      </c>
      <c r="L18" s="136" t="n">
        <f aca="false">IFERROR(F18/E18,"")</f>
        <v>1</v>
      </c>
      <c r="M18" s="87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426"/>
      <c r="AG18" s="87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426"/>
      <c r="BA18" s="87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426"/>
      <c r="BU18" s="87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426"/>
      <c r="CO18" s="87"/>
      <c r="CP18" s="88"/>
      <c r="CQ18" s="88"/>
      <c r="CR18" s="88"/>
      <c r="CS18" s="88"/>
      <c r="CT18" s="88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426"/>
      <c r="DI18" s="87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88"/>
      <c r="DV18" s="88"/>
      <c r="DW18" s="88"/>
      <c r="DX18" s="88"/>
      <c r="DY18" s="88"/>
      <c r="DZ18" s="88"/>
      <c r="EA18" s="88"/>
      <c r="EB18" s="426"/>
      <c r="EC18" s="87"/>
      <c r="ED18" s="88"/>
      <c r="EE18" s="88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426"/>
      <c r="EW18" s="87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8"/>
      <c r="FJ18" s="88"/>
      <c r="FK18" s="88"/>
      <c r="FL18" s="88"/>
      <c r="FM18" s="88"/>
      <c r="FN18" s="88"/>
      <c r="FO18" s="88"/>
      <c r="FP18" s="524"/>
      <c r="FQ18" s="362"/>
    </row>
    <row r="19" customFormat="false" ht="22.5" hidden="false" customHeight="true" outlineLevel="0" collapsed="false">
      <c r="B19" s="75" t="n">
        <v>2</v>
      </c>
      <c r="C19" s="431" t="s">
        <v>701</v>
      </c>
      <c r="D19" s="432"/>
      <c r="E19" s="412" t="n">
        <f aca="false">SUM(E20:E25)</f>
        <v>51</v>
      </c>
      <c r="F19" s="413" t="n">
        <f aca="false">SUM(F20:F25)</f>
        <v>33</v>
      </c>
      <c r="G19" s="414" t="n">
        <f aca="false">SUM(G20:G23)</f>
        <v>0</v>
      </c>
      <c r="H19" s="433"/>
      <c r="I19" s="525"/>
      <c r="J19" s="526"/>
      <c r="K19" s="527"/>
      <c r="L19" s="67"/>
      <c r="M19" s="68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419"/>
      <c r="AG19" s="68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419"/>
      <c r="BA19" s="68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419"/>
      <c r="BU19" s="68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419"/>
      <c r="CO19" s="68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419"/>
      <c r="DI19" s="68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419"/>
      <c r="EC19" s="68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419"/>
      <c r="EW19" s="68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528"/>
      <c r="FQ19" s="362"/>
    </row>
    <row r="20" customFormat="false" ht="22.5" hidden="false" customHeight="true" outlineLevel="0" collapsed="false">
      <c r="B20" s="75" t="n">
        <v>2.1</v>
      </c>
      <c r="C20" s="147"/>
      <c r="D20" s="127"/>
      <c r="E20" s="139" t="n">
        <v>5</v>
      </c>
      <c r="F20" s="140" t="n">
        <v>5</v>
      </c>
      <c r="G20" s="141" t="n">
        <f aca="false">E20-F20</f>
        <v>0</v>
      </c>
      <c r="H20" s="166"/>
      <c r="I20" s="149" t="n">
        <v>46154</v>
      </c>
      <c r="J20" s="144" t="n">
        <v>46158</v>
      </c>
      <c r="K20" s="143" t="n">
        <f aca="false">J20-I20</f>
        <v>4</v>
      </c>
      <c r="L20" s="136" t="n">
        <f aca="false">IFERROR(F20/E20,"")</f>
        <v>1</v>
      </c>
      <c r="M20" s="87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426"/>
      <c r="AG20" s="87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426"/>
      <c r="BA20" s="87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426"/>
      <c r="BU20" s="87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426"/>
      <c r="CO20" s="87"/>
      <c r="CP20" s="88"/>
      <c r="CQ20" s="88"/>
      <c r="CR20" s="88"/>
      <c r="CS20" s="88"/>
      <c r="CT20" s="88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426"/>
      <c r="DI20" s="87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88"/>
      <c r="DV20" s="88"/>
      <c r="DW20" s="88"/>
      <c r="DX20" s="88"/>
      <c r="DY20" s="88"/>
      <c r="DZ20" s="88"/>
      <c r="EA20" s="88"/>
      <c r="EB20" s="426"/>
      <c r="EC20" s="87"/>
      <c r="ED20" s="88"/>
      <c r="EE20" s="88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426"/>
      <c r="EW20" s="87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8"/>
      <c r="FJ20" s="88"/>
      <c r="FK20" s="88"/>
      <c r="FL20" s="88"/>
      <c r="FM20" s="88"/>
      <c r="FN20" s="88"/>
      <c r="FO20" s="88"/>
      <c r="FP20" s="524"/>
      <c r="FQ20" s="362"/>
    </row>
    <row r="21" customFormat="false" ht="22.5" hidden="false" customHeight="true" outlineLevel="0" collapsed="false">
      <c r="B21" s="75" t="n">
        <v>2.2</v>
      </c>
      <c r="C21" s="147"/>
      <c r="D21" s="127"/>
      <c r="E21" s="139" t="n">
        <v>8</v>
      </c>
      <c r="F21" s="140" t="n">
        <v>8</v>
      </c>
      <c r="G21" s="141" t="n">
        <f aca="false">E21-F21</f>
        <v>0</v>
      </c>
      <c r="H21" s="166"/>
      <c r="I21" s="149" t="n">
        <v>46160</v>
      </c>
      <c r="J21" s="144" t="n">
        <v>46167</v>
      </c>
      <c r="K21" s="143" t="n">
        <f aca="false">J21-I21</f>
        <v>7</v>
      </c>
      <c r="L21" s="136" t="n">
        <f aca="false">IFERROR(F21/E21,"")</f>
        <v>1</v>
      </c>
      <c r="M21" s="8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426"/>
      <c r="AG21" s="87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426"/>
      <c r="BA21" s="87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426"/>
      <c r="BU21" s="87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426"/>
      <c r="CO21" s="87"/>
      <c r="CP21" s="88"/>
      <c r="CQ21" s="88"/>
      <c r="CR21" s="88"/>
      <c r="CS21" s="88"/>
      <c r="CT21" s="88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426"/>
      <c r="DI21" s="87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88"/>
      <c r="DV21" s="88"/>
      <c r="DW21" s="88"/>
      <c r="DX21" s="88"/>
      <c r="DY21" s="88"/>
      <c r="DZ21" s="88"/>
      <c r="EA21" s="88"/>
      <c r="EB21" s="426"/>
      <c r="EC21" s="87"/>
      <c r="ED21" s="88"/>
      <c r="EE21" s="88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426"/>
      <c r="EW21" s="87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8"/>
      <c r="FJ21" s="88"/>
      <c r="FK21" s="88"/>
      <c r="FL21" s="88"/>
      <c r="FM21" s="88"/>
      <c r="FN21" s="88"/>
      <c r="FO21" s="88"/>
      <c r="FP21" s="524"/>
      <c r="FQ21" s="362"/>
    </row>
    <row r="22" customFormat="false" ht="22.5" hidden="false" customHeight="true" outlineLevel="0" collapsed="false">
      <c r="B22" s="75" t="n">
        <v>2.3</v>
      </c>
      <c r="C22" s="147"/>
      <c r="D22" s="127"/>
      <c r="E22" s="139" t="n">
        <v>6</v>
      </c>
      <c r="F22" s="140" t="n">
        <v>6</v>
      </c>
      <c r="G22" s="141" t="n">
        <f aca="false">E22-F22</f>
        <v>0</v>
      </c>
      <c r="H22" s="166"/>
      <c r="I22" s="149" t="n">
        <v>46168</v>
      </c>
      <c r="J22" s="144" t="n">
        <v>46175</v>
      </c>
      <c r="K22" s="143" t="n">
        <f aca="false">J22-I22</f>
        <v>7</v>
      </c>
      <c r="L22" s="136" t="n">
        <f aca="false">IFERROR(F22/E22,"")</f>
        <v>1</v>
      </c>
      <c r="M22" s="8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426"/>
      <c r="AG22" s="87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426"/>
      <c r="BA22" s="87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426"/>
      <c r="BU22" s="87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426"/>
      <c r="CO22" s="87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426"/>
      <c r="DI22" s="87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426"/>
      <c r="EC22" s="87"/>
      <c r="ED22" s="88"/>
      <c r="EE22" s="88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426"/>
      <c r="EW22" s="87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8"/>
      <c r="FJ22" s="88"/>
      <c r="FK22" s="88"/>
      <c r="FL22" s="88"/>
      <c r="FM22" s="88"/>
      <c r="FN22" s="88"/>
      <c r="FO22" s="88"/>
      <c r="FP22" s="524"/>
      <c r="FQ22" s="362"/>
    </row>
    <row r="23" customFormat="false" ht="22.5" hidden="false" customHeight="true" outlineLevel="0" collapsed="false">
      <c r="B23" s="75" t="n">
        <v>2.4</v>
      </c>
      <c r="C23" s="147"/>
      <c r="D23" s="127"/>
      <c r="E23" s="139" t="n">
        <v>6</v>
      </c>
      <c r="F23" s="140" t="n">
        <v>6</v>
      </c>
      <c r="G23" s="141" t="n">
        <f aca="false">E23-F23</f>
        <v>0</v>
      </c>
      <c r="H23" s="166"/>
      <c r="I23" s="149" t="n">
        <v>46176</v>
      </c>
      <c r="J23" s="144" t="n">
        <v>46191</v>
      </c>
      <c r="K23" s="143" t="n">
        <f aca="false">J23-I23</f>
        <v>15</v>
      </c>
      <c r="L23" s="136" t="n">
        <f aca="false">IFERROR(F23/E23,"")</f>
        <v>1</v>
      </c>
      <c r="M23" s="8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426"/>
      <c r="AG23" s="87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426"/>
      <c r="BA23" s="87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426"/>
      <c r="BU23" s="87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426"/>
      <c r="CO23" s="87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426"/>
      <c r="DI23" s="87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426"/>
      <c r="EC23" s="87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426"/>
      <c r="EW23" s="87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8"/>
      <c r="FJ23" s="88"/>
      <c r="FK23" s="88"/>
      <c r="FL23" s="88"/>
      <c r="FM23" s="88"/>
      <c r="FN23" s="88"/>
      <c r="FO23" s="88"/>
      <c r="FP23" s="524"/>
      <c r="FQ23" s="362"/>
    </row>
    <row r="24" customFormat="false" ht="22.5" hidden="false" customHeight="true" outlineLevel="0" collapsed="false">
      <c r="B24" s="75" t="s">
        <v>131</v>
      </c>
      <c r="C24" s="147"/>
      <c r="D24" s="127"/>
      <c r="E24" s="139" t="n">
        <v>12</v>
      </c>
      <c r="F24" s="140" t="n">
        <v>3</v>
      </c>
      <c r="G24" s="141" t="n">
        <f aca="false">E24-F24</f>
        <v>9</v>
      </c>
      <c r="H24" s="166"/>
      <c r="I24" s="149" t="n">
        <v>46191</v>
      </c>
      <c r="J24" s="144" t="n">
        <v>46203</v>
      </c>
      <c r="K24" s="143" t="n">
        <f aca="false">J24-I24</f>
        <v>12</v>
      </c>
      <c r="L24" s="136" t="n">
        <f aca="false">IFERROR(F24/E24,"")</f>
        <v>0.25</v>
      </c>
      <c r="M24" s="87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426"/>
      <c r="AG24" s="87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426"/>
      <c r="BA24" s="87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426"/>
      <c r="BU24" s="87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426"/>
      <c r="CO24" s="87"/>
      <c r="CP24" s="88"/>
      <c r="CQ24" s="88"/>
      <c r="CR24" s="88"/>
      <c r="CS24" s="88"/>
      <c r="CT24" s="88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426"/>
      <c r="DI24" s="87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88"/>
      <c r="DV24" s="88"/>
      <c r="DW24" s="88"/>
      <c r="DX24" s="88"/>
      <c r="DY24" s="88"/>
      <c r="DZ24" s="88"/>
      <c r="EA24" s="88"/>
      <c r="EB24" s="426"/>
      <c r="EC24" s="87"/>
      <c r="ED24" s="88"/>
      <c r="EE24" s="88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426"/>
      <c r="EW24" s="87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8"/>
      <c r="FJ24" s="88"/>
      <c r="FK24" s="88"/>
      <c r="FL24" s="88"/>
      <c r="FM24" s="88"/>
      <c r="FN24" s="88"/>
      <c r="FO24" s="88"/>
      <c r="FP24" s="524"/>
      <c r="FQ24" s="362"/>
    </row>
    <row r="25" customFormat="false" ht="22.5" hidden="false" customHeight="true" outlineLevel="0" collapsed="false">
      <c r="B25" s="75" t="s">
        <v>133</v>
      </c>
      <c r="C25" s="147"/>
      <c r="D25" s="127"/>
      <c r="E25" s="139" t="n">
        <v>14</v>
      </c>
      <c r="F25" s="140" t="n">
        <v>5</v>
      </c>
      <c r="G25" s="141" t="n">
        <f aca="false">E25-F25</f>
        <v>9</v>
      </c>
      <c r="H25" s="166"/>
      <c r="I25" s="149" t="n">
        <v>46204</v>
      </c>
      <c r="J25" s="144" t="n">
        <v>46218</v>
      </c>
      <c r="K25" s="143" t="n">
        <f aca="false">J25-I25</f>
        <v>14</v>
      </c>
      <c r="L25" s="136" t="n">
        <f aca="false">IFERROR(F25/E25,"")</f>
        <v>0.357142857142857</v>
      </c>
      <c r="M25" s="87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426"/>
      <c r="AG25" s="87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426"/>
      <c r="BA25" s="87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426"/>
      <c r="BU25" s="87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426"/>
      <c r="CO25" s="87"/>
      <c r="CP25" s="88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426"/>
      <c r="DI25" s="87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88"/>
      <c r="DV25" s="88"/>
      <c r="DW25" s="88"/>
      <c r="DX25" s="88"/>
      <c r="DY25" s="88"/>
      <c r="DZ25" s="88"/>
      <c r="EA25" s="88"/>
      <c r="EB25" s="426"/>
      <c r="EC25" s="87"/>
      <c r="ED25" s="88"/>
      <c r="EE25" s="88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426"/>
      <c r="EW25" s="87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8"/>
      <c r="FJ25" s="88"/>
      <c r="FK25" s="88"/>
      <c r="FL25" s="88"/>
      <c r="FM25" s="88"/>
      <c r="FN25" s="88"/>
      <c r="FO25" s="88"/>
      <c r="FP25" s="524"/>
      <c r="FQ25" s="362"/>
    </row>
    <row r="26" customFormat="false" ht="22.5" hidden="false" customHeight="true" outlineLevel="0" collapsed="false">
      <c r="B26" s="75" t="n">
        <v>3</v>
      </c>
      <c r="C26" s="431" t="s">
        <v>702</v>
      </c>
      <c r="D26" s="432"/>
      <c r="E26" s="412" t="n">
        <f aca="false">SUM(E27:E32)</f>
        <v>38</v>
      </c>
      <c r="F26" s="413" t="n">
        <f aca="false">SUM(F27:F32)</f>
        <v>38</v>
      </c>
      <c r="G26" s="414" t="n">
        <f aca="false">SUM(G27:G32)</f>
        <v>0</v>
      </c>
      <c r="H26" s="433"/>
      <c r="I26" s="525"/>
      <c r="J26" s="526"/>
      <c r="K26" s="527"/>
      <c r="L26" s="67"/>
      <c r="M26" s="68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419"/>
      <c r="AG26" s="68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419"/>
      <c r="BA26" s="68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419"/>
      <c r="BU26" s="68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419"/>
      <c r="CO26" s="68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419"/>
      <c r="DI26" s="68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419"/>
      <c r="EC26" s="68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419"/>
      <c r="EW26" s="68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528"/>
      <c r="FQ26" s="362"/>
    </row>
    <row r="27" customFormat="false" ht="22.5" hidden="false" customHeight="true" outlineLevel="0" collapsed="false">
      <c r="B27" s="75" t="n">
        <v>3.1</v>
      </c>
      <c r="C27" s="147"/>
      <c r="D27" s="127"/>
      <c r="E27" s="139" t="n">
        <v>5</v>
      </c>
      <c r="F27" s="140" t="n">
        <v>5</v>
      </c>
      <c r="G27" s="141" t="n">
        <f aca="false">E27-F27</f>
        <v>0</v>
      </c>
      <c r="H27" s="166"/>
      <c r="I27" s="149" t="n">
        <v>46233</v>
      </c>
      <c r="J27" s="149" t="n">
        <v>46238</v>
      </c>
      <c r="K27" s="143" t="n">
        <f aca="false">J29-I29</f>
        <v>5</v>
      </c>
      <c r="L27" s="136" t="n">
        <f aca="false">IFERROR(F27/E27,"")</f>
        <v>1</v>
      </c>
      <c r="M27" s="87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426"/>
      <c r="AG27" s="87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426"/>
      <c r="BA27" s="87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426"/>
      <c r="BU27" s="87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426"/>
      <c r="CO27" s="87"/>
      <c r="CP27" s="88"/>
      <c r="CQ27" s="88"/>
      <c r="CR27" s="88"/>
      <c r="CS27" s="88"/>
      <c r="CT27" s="88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426"/>
      <c r="DI27" s="87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88"/>
      <c r="DV27" s="88"/>
      <c r="DW27" s="88"/>
      <c r="DX27" s="88"/>
      <c r="DY27" s="88"/>
      <c r="DZ27" s="88"/>
      <c r="EA27" s="88"/>
      <c r="EB27" s="426"/>
      <c r="EC27" s="87"/>
      <c r="ED27" s="88"/>
      <c r="EE27" s="88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426"/>
      <c r="EW27" s="87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8"/>
      <c r="FJ27" s="88"/>
      <c r="FK27" s="88"/>
      <c r="FL27" s="88"/>
      <c r="FM27" s="88"/>
      <c r="FN27" s="88"/>
      <c r="FO27" s="88"/>
      <c r="FP27" s="524"/>
      <c r="FQ27" s="362"/>
    </row>
    <row r="28" customFormat="false" ht="22.5" hidden="false" customHeight="true" outlineLevel="0" collapsed="false">
      <c r="B28" s="75" t="n">
        <v>3.2</v>
      </c>
      <c r="C28" s="147"/>
      <c r="D28" s="127"/>
      <c r="E28" s="139" t="n">
        <v>8</v>
      </c>
      <c r="F28" s="140" t="n">
        <v>8</v>
      </c>
      <c r="G28" s="141" t="n">
        <f aca="false">E28-F28</f>
        <v>0</v>
      </c>
      <c r="H28" s="166"/>
      <c r="I28" s="149" t="n">
        <v>46238</v>
      </c>
      <c r="J28" s="144" t="n">
        <v>46267</v>
      </c>
      <c r="K28" s="143" t="n">
        <f aca="false">J28-I28</f>
        <v>29</v>
      </c>
      <c r="L28" s="136" t="n">
        <f aca="false">IFERROR(F28/E28,"")</f>
        <v>1</v>
      </c>
      <c r="M28" s="87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426"/>
      <c r="AG28" s="87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426"/>
      <c r="BA28" s="87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426"/>
      <c r="BU28" s="87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426"/>
      <c r="CO28" s="87"/>
      <c r="CP28" s="88"/>
      <c r="CQ28" s="88"/>
      <c r="CR28" s="88"/>
      <c r="CS28" s="88"/>
      <c r="CT28" s="88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426"/>
      <c r="DI28" s="87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88"/>
      <c r="DV28" s="88"/>
      <c r="DW28" s="88"/>
      <c r="DX28" s="88"/>
      <c r="DY28" s="88"/>
      <c r="DZ28" s="88"/>
      <c r="EA28" s="88"/>
      <c r="EB28" s="426"/>
      <c r="EC28" s="87"/>
      <c r="ED28" s="88"/>
      <c r="EE28" s="88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426"/>
      <c r="EW28" s="87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8"/>
      <c r="FJ28" s="88"/>
      <c r="FK28" s="88"/>
      <c r="FL28" s="88"/>
      <c r="FM28" s="88"/>
      <c r="FN28" s="88"/>
      <c r="FO28" s="88"/>
      <c r="FP28" s="524"/>
      <c r="FQ28" s="362"/>
    </row>
    <row r="29" customFormat="false" ht="22.5" hidden="false" customHeight="true" outlineLevel="0" collapsed="false">
      <c r="B29" s="75" t="s">
        <v>647</v>
      </c>
      <c r="C29" s="147"/>
      <c r="D29" s="127"/>
      <c r="E29" s="139" t="n">
        <v>5</v>
      </c>
      <c r="F29" s="140" t="n">
        <v>5</v>
      </c>
      <c r="G29" s="141" t="n">
        <f aca="false">E29-F29</f>
        <v>0</v>
      </c>
      <c r="H29" s="166"/>
      <c r="I29" s="149" t="n">
        <v>46267</v>
      </c>
      <c r="J29" s="144" t="n">
        <v>46272</v>
      </c>
      <c r="K29" s="143" t="n">
        <f aca="false">J29-I29</f>
        <v>5</v>
      </c>
      <c r="L29" s="136" t="n">
        <f aca="false">IFERROR(F29/E29,"")</f>
        <v>1</v>
      </c>
      <c r="M29" s="87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426"/>
      <c r="AG29" s="87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426"/>
      <c r="BA29" s="87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426"/>
      <c r="BU29" s="87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426"/>
      <c r="CO29" s="87"/>
      <c r="CP29" s="88"/>
      <c r="CQ29" s="88"/>
      <c r="CR29" s="88"/>
      <c r="CS29" s="88"/>
      <c r="CT29" s="88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426"/>
      <c r="DI29" s="87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88"/>
      <c r="DV29" s="88"/>
      <c r="DW29" s="88"/>
      <c r="DX29" s="88"/>
      <c r="DY29" s="88"/>
      <c r="DZ29" s="88"/>
      <c r="EA29" s="88"/>
      <c r="EB29" s="426"/>
      <c r="EC29" s="87"/>
      <c r="ED29" s="88"/>
      <c r="EE29" s="88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426"/>
      <c r="EW29" s="87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8"/>
      <c r="FJ29" s="88"/>
      <c r="FK29" s="88"/>
      <c r="FL29" s="88"/>
      <c r="FM29" s="88"/>
      <c r="FN29" s="88"/>
      <c r="FO29" s="88"/>
      <c r="FP29" s="524"/>
      <c r="FQ29" s="362"/>
    </row>
    <row r="30" customFormat="false" ht="22.5" hidden="false" customHeight="true" outlineLevel="0" collapsed="false">
      <c r="B30" s="75" t="s">
        <v>650</v>
      </c>
      <c r="C30" s="147"/>
      <c r="D30" s="127"/>
      <c r="E30" s="139" t="n">
        <v>8</v>
      </c>
      <c r="F30" s="140" t="n">
        <v>8</v>
      </c>
      <c r="G30" s="141" t="n">
        <f aca="false">E30-F30</f>
        <v>0</v>
      </c>
      <c r="H30" s="166"/>
      <c r="I30" s="149" t="n">
        <v>46273</v>
      </c>
      <c r="J30" s="144" t="n">
        <v>46280</v>
      </c>
      <c r="K30" s="143" t="n">
        <f aca="false">J30-I30</f>
        <v>7</v>
      </c>
      <c r="L30" s="136" t="n">
        <f aca="false">IFERROR(F30/E30,"")</f>
        <v>1</v>
      </c>
      <c r="M30" s="87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426"/>
      <c r="AG30" s="87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426"/>
      <c r="BA30" s="87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426"/>
      <c r="BU30" s="87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426"/>
      <c r="CO30" s="87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426"/>
      <c r="DI30" s="87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426"/>
      <c r="EC30" s="87"/>
      <c r="ED30" s="88"/>
      <c r="EE30" s="88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426"/>
      <c r="EW30" s="87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8"/>
      <c r="FJ30" s="88"/>
      <c r="FK30" s="88"/>
      <c r="FL30" s="88"/>
      <c r="FM30" s="88"/>
      <c r="FN30" s="88"/>
      <c r="FO30" s="88"/>
      <c r="FP30" s="524"/>
      <c r="FQ30" s="362"/>
    </row>
    <row r="31" customFormat="false" ht="22.5" hidden="false" customHeight="true" outlineLevel="0" collapsed="false">
      <c r="B31" s="75" t="n">
        <v>3.3</v>
      </c>
      <c r="C31" s="147"/>
      <c r="D31" s="127"/>
      <c r="E31" s="139" t="n">
        <v>6</v>
      </c>
      <c r="F31" s="140" t="n">
        <v>6</v>
      </c>
      <c r="G31" s="141" t="n">
        <f aca="false">E31-F31</f>
        <v>0</v>
      </c>
      <c r="H31" s="166"/>
      <c r="I31" s="149" t="n">
        <v>46281</v>
      </c>
      <c r="J31" s="144" t="n">
        <v>46295</v>
      </c>
      <c r="K31" s="143" t="n">
        <f aca="false">J31-I31</f>
        <v>14</v>
      </c>
      <c r="L31" s="136" t="n">
        <f aca="false">IFERROR(F31/E31,"")</f>
        <v>1</v>
      </c>
      <c r="M31" s="87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426"/>
      <c r="AG31" s="87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426"/>
      <c r="BA31" s="87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426"/>
      <c r="BU31" s="87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426"/>
      <c r="CO31" s="87"/>
      <c r="CP31" s="88"/>
      <c r="CQ31" s="88"/>
      <c r="CR31" s="88"/>
      <c r="CS31" s="88"/>
      <c r="CT31" s="88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426"/>
      <c r="DI31" s="87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88"/>
      <c r="DV31" s="88"/>
      <c r="DW31" s="88"/>
      <c r="DX31" s="88"/>
      <c r="DY31" s="88"/>
      <c r="DZ31" s="88"/>
      <c r="EA31" s="88"/>
      <c r="EB31" s="426"/>
      <c r="EC31" s="87"/>
      <c r="ED31" s="88"/>
      <c r="EE31" s="88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426"/>
      <c r="EW31" s="87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8"/>
      <c r="FJ31" s="88"/>
      <c r="FK31" s="88"/>
      <c r="FL31" s="88"/>
      <c r="FM31" s="88"/>
      <c r="FN31" s="88"/>
      <c r="FO31" s="88"/>
      <c r="FP31" s="524"/>
      <c r="FQ31" s="362"/>
    </row>
    <row r="32" customFormat="false" ht="22.5" hidden="false" customHeight="true" outlineLevel="0" collapsed="false">
      <c r="B32" s="75" t="s">
        <v>655</v>
      </c>
      <c r="C32" s="147"/>
      <c r="D32" s="127"/>
      <c r="E32" s="139" t="n">
        <v>6</v>
      </c>
      <c r="F32" s="140" t="n">
        <v>6</v>
      </c>
      <c r="G32" s="141" t="n">
        <f aca="false">E32-F32</f>
        <v>0</v>
      </c>
      <c r="H32" s="166"/>
      <c r="I32" s="149" t="n">
        <v>46296</v>
      </c>
      <c r="J32" s="144" t="n">
        <v>46305</v>
      </c>
      <c r="K32" s="143" t="n">
        <f aca="false">J35-I35</f>
        <v>0</v>
      </c>
      <c r="L32" s="136" t="n">
        <f aca="false">IFERROR(F32/E32,"")</f>
        <v>1</v>
      </c>
      <c r="M32" s="87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426"/>
      <c r="AG32" s="87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426"/>
      <c r="BA32" s="87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426"/>
      <c r="BU32" s="87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426"/>
      <c r="CO32" s="87"/>
      <c r="CP32" s="88"/>
      <c r="CQ32" s="88"/>
      <c r="CR32" s="88"/>
      <c r="CS32" s="88"/>
      <c r="CT32" s="88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426"/>
      <c r="DI32" s="87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88"/>
      <c r="DV32" s="88"/>
      <c r="DW32" s="88"/>
      <c r="DX32" s="88"/>
      <c r="DY32" s="88"/>
      <c r="DZ32" s="88"/>
      <c r="EA32" s="88"/>
      <c r="EB32" s="426"/>
      <c r="EC32" s="87"/>
      <c r="ED32" s="88"/>
      <c r="EE32" s="88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426"/>
      <c r="EW32" s="87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8"/>
      <c r="FJ32" s="88"/>
      <c r="FK32" s="88"/>
      <c r="FL32" s="88"/>
      <c r="FM32" s="88"/>
      <c r="FN32" s="88"/>
      <c r="FO32" s="88"/>
      <c r="FP32" s="524"/>
      <c r="FQ32" s="362"/>
    </row>
    <row r="33" customFormat="false" ht="22.5" hidden="false" customHeight="true" outlineLevel="0" collapsed="false">
      <c r="B33" s="75" t="n">
        <v>4</v>
      </c>
      <c r="C33" s="431" t="s">
        <v>703</v>
      </c>
      <c r="D33" s="432"/>
      <c r="E33" s="412" t="n">
        <f aca="false">SUM(E34:E37)</f>
        <v>25</v>
      </c>
      <c r="F33" s="413" t="n">
        <f aca="false">SUM(F34:F37)</f>
        <v>25</v>
      </c>
      <c r="G33" s="414" t="n">
        <f aca="false">SUM(G34:G37)</f>
        <v>0</v>
      </c>
      <c r="H33" s="433"/>
      <c r="I33" s="525"/>
      <c r="J33" s="526"/>
      <c r="K33" s="527"/>
      <c r="L33" s="67"/>
      <c r="M33" s="68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419"/>
      <c r="AG33" s="68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419"/>
      <c r="BA33" s="68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419"/>
      <c r="BU33" s="68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419"/>
      <c r="CO33" s="68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419"/>
      <c r="DI33" s="68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419"/>
      <c r="EC33" s="68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419"/>
      <c r="EW33" s="68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528"/>
      <c r="FQ33" s="362"/>
    </row>
    <row r="34" customFormat="false" ht="22.5" hidden="false" customHeight="true" outlineLevel="0" collapsed="false">
      <c r="B34" s="75" t="n">
        <v>4.1</v>
      </c>
      <c r="C34" s="147"/>
      <c r="D34" s="127"/>
      <c r="E34" s="139" t="n">
        <v>5</v>
      </c>
      <c r="F34" s="140" t="n">
        <v>5</v>
      </c>
      <c r="G34" s="141" t="n">
        <f aca="false">E34-F34</f>
        <v>0</v>
      </c>
      <c r="H34" s="166"/>
      <c r="I34" s="149"/>
      <c r="J34" s="144"/>
      <c r="K34" s="143" t="n">
        <f aca="false">J34-I34</f>
        <v>0</v>
      </c>
      <c r="L34" s="136" t="n">
        <f aca="false">IFERROR(F34/E34,"")</f>
        <v>1</v>
      </c>
      <c r="M34" s="87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426"/>
      <c r="AG34" s="87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426"/>
      <c r="BA34" s="87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426"/>
      <c r="BU34" s="87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426"/>
      <c r="CO34" s="87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426"/>
      <c r="DI34" s="87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88"/>
      <c r="DV34" s="88"/>
      <c r="DW34" s="88"/>
      <c r="DX34" s="88"/>
      <c r="DY34" s="88"/>
      <c r="DZ34" s="88"/>
      <c r="EA34" s="88"/>
      <c r="EB34" s="426"/>
      <c r="EC34" s="87"/>
      <c r="ED34" s="88"/>
      <c r="EE34" s="88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426"/>
      <c r="EW34" s="87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8"/>
      <c r="FJ34" s="88"/>
      <c r="FK34" s="88"/>
      <c r="FL34" s="88"/>
      <c r="FM34" s="88"/>
      <c r="FN34" s="88"/>
      <c r="FO34" s="88"/>
      <c r="FP34" s="524"/>
      <c r="FQ34" s="362"/>
    </row>
    <row r="35" customFormat="false" ht="22.5" hidden="false" customHeight="true" outlineLevel="0" collapsed="false">
      <c r="B35" s="75" t="n">
        <v>4.2</v>
      </c>
      <c r="C35" s="147"/>
      <c r="D35" s="127"/>
      <c r="E35" s="139" t="n">
        <v>8</v>
      </c>
      <c r="F35" s="140" t="n">
        <v>8</v>
      </c>
      <c r="G35" s="141" t="n">
        <f aca="false">E35-F35</f>
        <v>0</v>
      </c>
      <c r="H35" s="166"/>
      <c r="I35" s="149"/>
      <c r="J35" s="144"/>
      <c r="K35" s="143" t="n">
        <f aca="false">J35-I35</f>
        <v>0</v>
      </c>
      <c r="L35" s="136" t="n">
        <f aca="false">IFERROR(F35/E35,"")</f>
        <v>1</v>
      </c>
      <c r="M35" s="87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426"/>
      <c r="AG35" s="87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426"/>
      <c r="BA35" s="87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426"/>
      <c r="BU35" s="87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426"/>
      <c r="CO35" s="87"/>
      <c r="CP35" s="88"/>
      <c r="CQ35" s="88"/>
      <c r="CR35" s="88"/>
      <c r="CS35" s="88"/>
      <c r="CT35" s="88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426"/>
      <c r="DI35" s="87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88"/>
      <c r="DV35" s="88"/>
      <c r="DW35" s="88"/>
      <c r="DX35" s="88"/>
      <c r="DY35" s="88"/>
      <c r="DZ35" s="88"/>
      <c r="EA35" s="88"/>
      <c r="EB35" s="426"/>
      <c r="EC35" s="87"/>
      <c r="ED35" s="88"/>
      <c r="EE35" s="88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426"/>
      <c r="EW35" s="87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8"/>
      <c r="FJ35" s="88"/>
      <c r="FK35" s="88"/>
      <c r="FL35" s="88"/>
      <c r="FM35" s="88"/>
      <c r="FN35" s="88"/>
      <c r="FO35" s="88"/>
      <c r="FP35" s="524"/>
      <c r="FQ35" s="362"/>
    </row>
    <row r="36" customFormat="false" ht="22.5" hidden="false" customHeight="true" outlineLevel="0" collapsed="false">
      <c r="B36" s="75" t="n">
        <v>4.3</v>
      </c>
      <c r="C36" s="147"/>
      <c r="D36" s="232"/>
      <c r="E36" s="139" t="n">
        <v>6</v>
      </c>
      <c r="F36" s="140" t="n">
        <v>6</v>
      </c>
      <c r="G36" s="141" t="n">
        <f aca="false">E36-F36</f>
        <v>0</v>
      </c>
      <c r="H36" s="166"/>
      <c r="I36" s="149"/>
      <c r="J36" s="144"/>
      <c r="K36" s="143" t="n">
        <f aca="false">J36-I36</f>
        <v>0</v>
      </c>
      <c r="L36" s="136" t="n">
        <f aca="false">IFERROR(F36/E36,"")</f>
        <v>1</v>
      </c>
      <c r="M36" s="87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426"/>
      <c r="AG36" s="87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426"/>
      <c r="BA36" s="87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426"/>
      <c r="BU36" s="87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426"/>
      <c r="CO36" s="87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426"/>
      <c r="DI36" s="87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88"/>
      <c r="DV36" s="88"/>
      <c r="DW36" s="88"/>
      <c r="DX36" s="88"/>
      <c r="DY36" s="88"/>
      <c r="DZ36" s="88"/>
      <c r="EA36" s="88"/>
      <c r="EB36" s="426"/>
      <c r="EC36" s="87"/>
      <c r="ED36" s="88"/>
      <c r="EE36" s="88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426"/>
      <c r="EW36" s="87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8"/>
      <c r="FJ36" s="88"/>
      <c r="FK36" s="88"/>
      <c r="FL36" s="88"/>
      <c r="FM36" s="88"/>
      <c r="FN36" s="88"/>
      <c r="FO36" s="88"/>
      <c r="FP36" s="524"/>
      <c r="FQ36" s="362"/>
    </row>
    <row r="37" customFormat="false" ht="22.5" hidden="false" customHeight="true" outlineLevel="0" collapsed="false">
      <c r="B37" s="529" t="s">
        <v>665</v>
      </c>
      <c r="C37" s="530"/>
      <c r="D37" s="531"/>
      <c r="E37" s="532" t="n">
        <v>6</v>
      </c>
      <c r="F37" s="533" t="n">
        <v>6</v>
      </c>
      <c r="G37" s="534" t="n">
        <f aca="false">E37-F37</f>
        <v>0</v>
      </c>
      <c r="H37" s="535"/>
      <c r="I37" s="536"/>
      <c r="J37" s="537"/>
      <c r="K37" s="538" t="n">
        <f aca="false">J37-I37</f>
        <v>0</v>
      </c>
      <c r="L37" s="539" t="n">
        <f aca="false">IFERROR(F37/E37,"")</f>
        <v>1</v>
      </c>
      <c r="M37" s="87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426"/>
      <c r="AG37" s="87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426"/>
      <c r="BA37" s="87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426"/>
      <c r="BU37" s="87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426"/>
      <c r="CO37" s="87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426"/>
      <c r="DI37" s="87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426"/>
      <c r="EC37" s="87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426"/>
      <c r="EW37" s="87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8"/>
      <c r="FJ37" s="88"/>
      <c r="FK37" s="88"/>
      <c r="FL37" s="88"/>
      <c r="FM37" s="88"/>
      <c r="FN37" s="88"/>
      <c r="FO37" s="88"/>
      <c r="FP37" s="524"/>
      <c r="FQ37" s="540"/>
    </row>
    <row r="38" customFormat="false" ht="22.5" hidden="false" customHeight="true" outlineLevel="0" collapsed="false">
      <c r="B38" s="541" t="s">
        <v>704</v>
      </c>
      <c r="C38" s="542"/>
      <c r="D38" s="543"/>
      <c r="E38" s="544" t="n">
        <v>6</v>
      </c>
      <c r="F38" s="545" t="n">
        <v>6</v>
      </c>
      <c r="G38" s="546" t="n">
        <f aca="false">E38-F38</f>
        <v>0</v>
      </c>
      <c r="H38" s="547"/>
      <c r="I38" s="548"/>
      <c r="J38" s="549"/>
      <c r="K38" s="550" t="n">
        <f aca="false">J38-I38</f>
        <v>0</v>
      </c>
      <c r="L38" s="551" t="n">
        <f aca="false">IFERROR(F38/E38,"")</f>
        <v>1</v>
      </c>
      <c r="M38" s="87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426"/>
      <c r="AG38" s="87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426"/>
      <c r="BA38" s="87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426"/>
      <c r="BU38" s="87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426"/>
      <c r="CO38" s="87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426"/>
      <c r="DI38" s="87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426"/>
      <c r="EC38" s="87"/>
      <c r="ED38" s="88"/>
      <c r="EE38" s="88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426"/>
      <c r="EW38" s="87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8"/>
      <c r="FJ38" s="88"/>
      <c r="FK38" s="88"/>
      <c r="FL38" s="88"/>
      <c r="FM38" s="88"/>
      <c r="FN38" s="88"/>
      <c r="FO38" s="88"/>
      <c r="FP38" s="524"/>
      <c r="FQ38" s="552"/>
    </row>
    <row r="39" customFormat="false" ht="22.5" hidden="false" customHeight="true" outlineLevel="0" collapsed="false">
      <c r="B39" s="541" t="s">
        <v>705</v>
      </c>
      <c r="C39" s="542"/>
      <c r="D39" s="543"/>
      <c r="E39" s="544" t="n">
        <v>6</v>
      </c>
      <c r="F39" s="545" t="n">
        <v>6</v>
      </c>
      <c r="G39" s="546" t="n">
        <f aca="false">E39-F39</f>
        <v>0</v>
      </c>
      <c r="H39" s="547"/>
      <c r="I39" s="548"/>
      <c r="J39" s="549"/>
      <c r="K39" s="550" t="n">
        <f aca="false">J39-I39</f>
        <v>0</v>
      </c>
      <c r="L39" s="551" t="n">
        <f aca="false">IFERROR(F39/E39,"")</f>
        <v>1</v>
      </c>
      <c r="M39" s="87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426"/>
      <c r="AG39" s="87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426"/>
      <c r="BA39" s="87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426"/>
      <c r="BU39" s="87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426"/>
      <c r="CO39" s="87"/>
      <c r="CP39" s="88"/>
      <c r="CQ39" s="88"/>
      <c r="CR39" s="88"/>
      <c r="CS39" s="88"/>
      <c r="CT39" s="88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426"/>
      <c r="DI39" s="87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88"/>
      <c r="DV39" s="88"/>
      <c r="DW39" s="88"/>
      <c r="DX39" s="88"/>
      <c r="DY39" s="88"/>
      <c r="DZ39" s="88"/>
      <c r="EA39" s="88"/>
      <c r="EB39" s="426"/>
      <c r="EC39" s="87"/>
      <c r="ED39" s="88"/>
      <c r="EE39" s="88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426"/>
      <c r="EW39" s="87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8"/>
      <c r="FJ39" s="88"/>
      <c r="FK39" s="88"/>
      <c r="FL39" s="88"/>
      <c r="FM39" s="88"/>
      <c r="FN39" s="88"/>
      <c r="FO39" s="88"/>
      <c r="FP39" s="524"/>
      <c r="FQ39" s="552"/>
    </row>
    <row r="40" customFormat="false" ht="22.5" hidden="false" customHeight="true" outlineLevel="0" collapsed="false">
      <c r="B40" s="553" t="s">
        <v>706</v>
      </c>
      <c r="C40" s="554"/>
      <c r="D40" s="555"/>
      <c r="E40" s="556" t="n">
        <v>6</v>
      </c>
      <c r="F40" s="557" t="n">
        <v>6</v>
      </c>
      <c r="G40" s="558" t="n">
        <f aca="false">E40-F40</f>
        <v>0</v>
      </c>
      <c r="H40" s="559"/>
      <c r="I40" s="560"/>
      <c r="J40" s="561"/>
      <c r="K40" s="199" t="n">
        <f aca="false">J40-I40</f>
        <v>0</v>
      </c>
      <c r="L40" s="562" t="n">
        <f aca="false">IFERROR(F40/E40,"")</f>
        <v>1</v>
      </c>
      <c r="M40" s="87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426"/>
      <c r="AG40" s="87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426"/>
      <c r="BA40" s="87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426"/>
      <c r="BU40" s="87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426"/>
      <c r="CO40" s="87"/>
      <c r="CP40" s="88"/>
      <c r="CQ40" s="88"/>
      <c r="CR40" s="88"/>
      <c r="CS40" s="88"/>
      <c r="CT40" s="88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426"/>
      <c r="DI40" s="87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88"/>
      <c r="DV40" s="88"/>
      <c r="DW40" s="88"/>
      <c r="DX40" s="88"/>
      <c r="DY40" s="88"/>
      <c r="DZ40" s="88"/>
      <c r="EA40" s="88"/>
      <c r="EB40" s="426"/>
      <c r="EC40" s="87"/>
      <c r="ED40" s="88"/>
      <c r="EE40" s="88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426"/>
      <c r="EW40" s="87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8"/>
      <c r="FJ40" s="88"/>
      <c r="FK40" s="88"/>
      <c r="FL40" s="88"/>
      <c r="FM40" s="88"/>
      <c r="FN40" s="88"/>
      <c r="FO40" s="88"/>
      <c r="FP40" s="524"/>
      <c r="FQ40" s="362"/>
    </row>
    <row r="41" customFormat="false" ht="22.5" hidden="false" customHeight="true" outlineLevel="0" collapsed="false">
      <c r="B41" s="75" t="s">
        <v>296</v>
      </c>
      <c r="C41" s="431" t="s">
        <v>707</v>
      </c>
      <c r="D41" s="432"/>
      <c r="E41" s="412" t="n">
        <f aca="false">SUM(E42:E45)</f>
        <v>25</v>
      </c>
      <c r="F41" s="413" t="n">
        <f aca="false">SUM(F42:F45)</f>
        <v>25</v>
      </c>
      <c r="G41" s="414" t="n">
        <f aca="false">SUM(G42:G45)</f>
        <v>0</v>
      </c>
      <c r="H41" s="433"/>
      <c r="I41" s="525"/>
      <c r="J41" s="526"/>
      <c r="K41" s="527"/>
      <c r="L41" s="67"/>
      <c r="M41" s="68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419"/>
      <c r="AG41" s="68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419"/>
      <c r="BA41" s="68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  <c r="BP41" s="122"/>
      <c r="BQ41" s="122"/>
      <c r="BR41" s="122"/>
      <c r="BS41" s="122"/>
      <c r="BT41" s="419"/>
      <c r="BU41" s="68"/>
      <c r="BV41" s="122"/>
      <c r="BW41" s="122"/>
      <c r="BX41" s="122"/>
      <c r="BY41" s="122"/>
      <c r="BZ41" s="122"/>
      <c r="CA41" s="122"/>
      <c r="CB41" s="122"/>
      <c r="CC41" s="122"/>
      <c r="CD41" s="122"/>
      <c r="CE41" s="122"/>
      <c r="CF41" s="122"/>
      <c r="CG41" s="122"/>
      <c r="CH41" s="122"/>
      <c r="CI41" s="122"/>
      <c r="CJ41" s="122"/>
      <c r="CK41" s="122"/>
      <c r="CL41" s="122"/>
      <c r="CM41" s="122"/>
      <c r="CN41" s="419"/>
      <c r="CO41" s="68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419"/>
      <c r="DI41" s="68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419"/>
      <c r="EC41" s="68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419"/>
      <c r="EW41" s="68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528"/>
      <c r="FQ41" s="362"/>
    </row>
    <row r="42" customFormat="false" ht="22.5" hidden="false" customHeight="true" outlineLevel="0" collapsed="false">
      <c r="B42" s="75" t="s">
        <v>298</v>
      </c>
      <c r="C42" s="147"/>
      <c r="D42" s="127"/>
      <c r="E42" s="139" t="n">
        <v>5</v>
      </c>
      <c r="F42" s="140" t="n">
        <v>5</v>
      </c>
      <c r="G42" s="141" t="n">
        <f aca="false">E42-F42</f>
        <v>0</v>
      </c>
      <c r="H42" s="166"/>
      <c r="I42" s="149" t="n">
        <v>46306</v>
      </c>
      <c r="J42" s="144" t="n">
        <v>46310</v>
      </c>
      <c r="K42" s="143" t="n">
        <f aca="false">J42-I42</f>
        <v>4</v>
      </c>
      <c r="L42" s="136" t="n">
        <f aca="false">IFERROR(F42/E42,"")</f>
        <v>1</v>
      </c>
      <c r="M42" s="87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426"/>
      <c r="AG42" s="87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426"/>
      <c r="BA42" s="87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426"/>
      <c r="BU42" s="87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426"/>
      <c r="CO42" s="87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426"/>
      <c r="DI42" s="87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88"/>
      <c r="DV42" s="88"/>
      <c r="DW42" s="88"/>
      <c r="DX42" s="88"/>
      <c r="DY42" s="88"/>
      <c r="DZ42" s="88"/>
      <c r="EA42" s="88"/>
      <c r="EB42" s="426"/>
      <c r="EC42" s="87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426"/>
      <c r="EW42" s="87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524"/>
      <c r="FQ42" s="362"/>
    </row>
    <row r="43" customFormat="false" ht="22.5" hidden="false" customHeight="true" outlineLevel="0" collapsed="false">
      <c r="B43" s="75" t="s">
        <v>300</v>
      </c>
      <c r="C43" s="147"/>
      <c r="D43" s="127"/>
      <c r="E43" s="139" t="n">
        <v>8</v>
      </c>
      <c r="F43" s="140" t="n">
        <v>8</v>
      </c>
      <c r="G43" s="141" t="n">
        <f aca="false">E43-F43</f>
        <v>0</v>
      </c>
      <c r="H43" s="166"/>
      <c r="I43" s="149" t="n">
        <v>46311</v>
      </c>
      <c r="J43" s="144" t="n">
        <v>46320</v>
      </c>
      <c r="K43" s="143" t="n">
        <f aca="false">J43-I43</f>
        <v>9</v>
      </c>
      <c r="L43" s="136" t="n">
        <f aca="false">IFERROR(F43/E43,"")</f>
        <v>1</v>
      </c>
      <c r="M43" s="87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426"/>
      <c r="AG43" s="87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426"/>
      <c r="BA43" s="87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426"/>
      <c r="BU43" s="87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426"/>
      <c r="CO43" s="87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426"/>
      <c r="DI43" s="87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88"/>
      <c r="DV43" s="88"/>
      <c r="DW43" s="88"/>
      <c r="DX43" s="88"/>
      <c r="DY43" s="88"/>
      <c r="DZ43" s="88"/>
      <c r="EA43" s="88"/>
      <c r="EB43" s="426"/>
      <c r="EC43" s="87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426"/>
      <c r="EW43" s="87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524"/>
      <c r="FQ43" s="362"/>
    </row>
    <row r="44" customFormat="false" ht="22.5" hidden="false" customHeight="true" outlineLevel="0" collapsed="false">
      <c r="B44" s="75" t="s">
        <v>303</v>
      </c>
      <c r="C44" s="217"/>
      <c r="D44" s="232"/>
      <c r="E44" s="218" t="n">
        <v>6</v>
      </c>
      <c r="F44" s="219" t="n">
        <v>6</v>
      </c>
      <c r="G44" s="220" t="n">
        <f aca="false">E44-F44</f>
        <v>0</v>
      </c>
      <c r="H44" s="222"/>
      <c r="I44" s="242" t="n">
        <v>46321</v>
      </c>
      <c r="J44" s="243" t="n">
        <v>46336</v>
      </c>
      <c r="K44" s="143" t="n">
        <f aca="false">J44-I44</f>
        <v>15</v>
      </c>
      <c r="L44" s="223" t="n">
        <f aca="false">IFERROR(F44/E44,"")</f>
        <v>1</v>
      </c>
      <c r="M44" s="87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426"/>
      <c r="AG44" s="87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426"/>
      <c r="BA44" s="87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426"/>
      <c r="BU44" s="87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426"/>
      <c r="CO44" s="87"/>
      <c r="CP44" s="88"/>
      <c r="CQ44" s="88"/>
      <c r="CR44" s="88"/>
      <c r="CS44" s="88"/>
      <c r="CT44" s="88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426"/>
      <c r="DI44" s="87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88"/>
      <c r="DV44" s="88"/>
      <c r="DW44" s="88"/>
      <c r="DX44" s="88"/>
      <c r="DY44" s="88"/>
      <c r="DZ44" s="88"/>
      <c r="EA44" s="88"/>
      <c r="EB44" s="426"/>
      <c r="EC44" s="87"/>
      <c r="ED44" s="88"/>
      <c r="EE44" s="88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426"/>
      <c r="EW44" s="87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8"/>
      <c r="FJ44" s="88"/>
      <c r="FK44" s="88"/>
      <c r="FL44" s="88"/>
      <c r="FM44" s="88"/>
      <c r="FN44" s="88"/>
      <c r="FO44" s="88"/>
      <c r="FP44" s="524"/>
      <c r="FQ44" s="362"/>
    </row>
    <row r="45" customFormat="false" ht="22.5" hidden="false" customHeight="true" outlineLevel="0" collapsed="false">
      <c r="B45" s="75" t="s">
        <v>306</v>
      </c>
      <c r="C45" s="217"/>
      <c r="D45" s="232"/>
      <c r="E45" s="218" t="n">
        <v>6</v>
      </c>
      <c r="F45" s="219" t="n">
        <v>6</v>
      </c>
      <c r="G45" s="220" t="n">
        <f aca="false">E45-F45</f>
        <v>0</v>
      </c>
      <c r="H45" s="222"/>
      <c r="I45" s="242" t="n">
        <v>46322</v>
      </c>
      <c r="J45" s="243" t="n">
        <v>46337</v>
      </c>
      <c r="K45" s="143" t="n">
        <f aca="false">J45-I45</f>
        <v>15</v>
      </c>
      <c r="L45" s="224" t="n">
        <f aca="false">IFERROR(F45/E45,"")</f>
        <v>1</v>
      </c>
      <c r="M45" s="87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426"/>
      <c r="AG45" s="87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426"/>
      <c r="BA45" s="87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426"/>
      <c r="BU45" s="87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426"/>
      <c r="CO45" s="87"/>
      <c r="CP45" s="88"/>
      <c r="CQ45" s="88"/>
      <c r="CR45" s="88"/>
      <c r="CS45" s="88"/>
      <c r="CT45" s="88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426"/>
      <c r="DI45" s="87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88"/>
      <c r="DV45" s="88"/>
      <c r="DW45" s="88"/>
      <c r="DX45" s="88"/>
      <c r="DY45" s="88"/>
      <c r="DZ45" s="88"/>
      <c r="EA45" s="88"/>
      <c r="EB45" s="426"/>
      <c r="EC45" s="87"/>
      <c r="ED45" s="88"/>
      <c r="EE45" s="88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426"/>
      <c r="EW45" s="87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8"/>
      <c r="FJ45" s="88"/>
      <c r="FK45" s="88"/>
      <c r="FL45" s="88"/>
      <c r="FM45" s="88"/>
      <c r="FN45" s="88"/>
      <c r="FO45" s="88"/>
      <c r="FP45" s="524"/>
      <c r="FQ45" s="362"/>
    </row>
    <row r="46" customFormat="false" ht="22.5" hidden="false" customHeight="true" outlineLevel="0" collapsed="false">
      <c r="B46" s="75" t="s">
        <v>309</v>
      </c>
      <c r="C46" s="217"/>
      <c r="D46" s="232"/>
      <c r="E46" s="218" t="n">
        <v>6</v>
      </c>
      <c r="F46" s="219" t="n">
        <v>6</v>
      </c>
      <c r="G46" s="220" t="n">
        <f aca="false">E46-F46</f>
        <v>0</v>
      </c>
      <c r="H46" s="222"/>
      <c r="I46" s="242" t="n">
        <v>46323</v>
      </c>
      <c r="J46" s="243" t="n">
        <v>46338</v>
      </c>
      <c r="K46" s="143" t="n">
        <f aca="false">J46-I46</f>
        <v>15</v>
      </c>
      <c r="L46" s="224" t="n">
        <f aca="false">IFERROR(F46/E46,"")</f>
        <v>1</v>
      </c>
      <c r="M46" s="87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426"/>
      <c r="AG46" s="87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426"/>
      <c r="BA46" s="87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426"/>
      <c r="BU46" s="87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426"/>
      <c r="CO46" s="87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426"/>
      <c r="DI46" s="87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426"/>
      <c r="EC46" s="87"/>
      <c r="ED46" s="88"/>
      <c r="EE46" s="88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426"/>
      <c r="EW46" s="87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8"/>
      <c r="FJ46" s="88"/>
      <c r="FK46" s="88"/>
      <c r="FL46" s="88"/>
      <c r="FM46" s="88"/>
      <c r="FN46" s="88"/>
      <c r="FO46" s="88"/>
      <c r="FP46" s="524"/>
      <c r="FQ46" s="362"/>
    </row>
    <row r="47" customFormat="false" ht="22.5" hidden="false" customHeight="true" outlineLevel="0" collapsed="false">
      <c r="B47" s="75" t="s">
        <v>311</v>
      </c>
      <c r="C47" s="217"/>
      <c r="D47" s="232"/>
      <c r="E47" s="218" t="n">
        <v>6</v>
      </c>
      <c r="F47" s="219" t="n">
        <v>6</v>
      </c>
      <c r="G47" s="220" t="n">
        <f aca="false">E47-F47</f>
        <v>0</v>
      </c>
      <c r="H47" s="222"/>
      <c r="I47" s="242" t="n">
        <v>46324</v>
      </c>
      <c r="J47" s="243" t="n">
        <v>46339</v>
      </c>
      <c r="K47" s="143" t="n">
        <f aca="false">J47-I47</f>
        <v>15</v>
      </c>
      <c r="L47" s="224" t="n">
        <f aca="false">IFERROR(F47/E47,"")</f>
        <v>1</v>
      </c>
      <c r="M47" s="87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426"/>
      <c r="AG47" s="87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426"/>
      <c r="BA47" s="87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426"/>
      <c r="BU47" s="87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426"/>
      <c r="CO47" s="87"/>
      <c r="CP47" s="88"/>
      <c r="CQ47" s="88"/>
      <c r="CR47" s="88"/>
      <c r="CS47" s="88"/>
      <c r="CT47" s="88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426"/>
      <c r="DI47" s="87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88"/>
      <c r="DV47" s="88"/>
      <c r="DW47" s="88"/>
      <c r="DX47" s="88"/>
      <c r="DY47" s="88"/>
      <c r="DZ47" s="88"/>
      <c r="EA47" s="88"/>
      <c r="EB47" s="426"/>
      <c r="EC47" s="87"/>
      <c r="ED47" s="88"/>
      <c r="EE47" s="88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426"/>
      <c r="EW47" s="87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8"/>
      <c r="FJ47" s="88"/>
      <c r="FK47" s="88"/>
      <c r="FL47" s="88"/>
      <c r="FM47" s="88"/>
      <c r="FN47" s="88"/>
      <c r="FO47" s="88"/>
      <c r="FP47" s="524"/>
      <c r="FQ47" s="362"/>
    </row>
    <row r="48" customFormat="false" ht="22.5" hidden="false" customHeight="true" outlineLevel="0" collapsed="false">
      <c r="B48" s="106" t="s">
        <v>314</v>
      </c>
      <c r="C48" s="233"/>
      <c r="D48" s="150"/>
      <c r="E48" s="151" t="n">
        <v>6</v>
      </c>
      <c r="F48" s="152" t="n">
        <v>6</v>
      </c>
      <c r="G48" s="153" t="n">
        <f aca="false">E48-F48</f>
        <v>0</v>
      </c>
      <c r="H48" s="234"/>
      <c r="I48" s="247" t="n">
        <v>46325</v>
      </c>
      <c r="J48" s="248" t="n">
        <v>46340</v>
      </c>
      <c r="K48" s="156" t="n">
        <f aca="false">J48-I48</f>
        <v>15</v>
      </c>
      <c r="L48" s="157" t="n">
        <f aca="false">IFERROR(F48/E48,"")</f>
        <v>1</v>
      </c>
      <c r="M48" s="235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6"/>
      <c r="AF48" s="563"/>
      <c r="AG48" s="235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563"/>
      <c r="BA48" s="235"/>
      <c r="BB48" s="236"/>
      <c r="BC48" s="236"/>
      <c r="BD48" s="236"/>
      <c r="BE48" s="236"/>
      <c r="BF48" s="236"/>
      <c r="BG48" s="236"/>
      <c r="BH48" s="236"/>
      <c r="BI48" s="236"/>
      <c r="BJ48" s="236"/>
      <c r="BK48" s="236"/>
      <c r="BL48" s="236"/>
      <c r="BM48" s="236"/>
      <c r="BN48" s="236"/>
      <c r="BO48" s="236"/>
      <c r="BP48" s="236"/>
      <c r="BQ48" s="236"/>
      <c r="BR48" s="236"/>
      <c r="BS48" s="236"/>
      <c r="BT48" s="563"/>
      <c r="BU48" s="235"/>
      <c r="BV48" s="236"/>
      <c r="BW48" s="236"/>
      <c r="BX48" s="236"/>
      <c r="BY48" s="236"/>
      <c r="BZ48" s="236"/>
      <c r="CA48" s="236"/>
      <c r="CB48" s="236"/>
      <c r="CC48" s="236"/>
      <c r="CD48" s="236"/>
      <c r="CE48" s="236"/>
      <c r="CF48" s="236"/>
      <c r="CG48" s="236"/>
      <c r="CH48" s="236"/>
      <c r="CI48" s="236"/>
      <c r="CJ48" s="236"/>
      <c r="CK48" s="236"/>
      <c r="CL48" s="236"/>
      <c r="CM48" s="236"/>
      <c r="CN48" s="563"/>
      <c r="CO48" s="235"/>
      <c r="CP48" s="236"/>
      <c r="CQ48" s="236"/>
      <c r="CR48" s="236"/>
      <c r="CS48" s="236"/>
      <c r="CT48" s="236"/>
      <c r="CU48" s="236"/>
      <c r="CV48" s="236"/>
      <c r="CW48" s="236"/>
      <c r="CX48" s="236"/>
      <c r="CY48" s="236"/>
      <c r="CZ48" s="236"/>
      <c r="DA48" s="236"/>
      <c r="DB48" s="236"/>
      <c r="DC48" s="236"/>
      <c r="DD48" s="236"/>
      <c r="DE48" s="236"/>
      <c r="DF48" s="236"/>
      <c r="DG48" s="236"/>
      <c r="DH48" s="563"/>
      <c r="DI48" s="235"/>
      <c r="DJ48" s="236"/>
      <c r="DK48" s="236"/>
      <c r="DL48" s="236"/>
      <c r="DM48" s="236"/>
      <c r="DN48" s="236"/>
      <c r="DO48" s="236"/>
      <c r="DP48" s="236"/>
      <c r="DQ48" s="236"/>
      <c r="DR48" s="236"/>
      <c r="DS48" s="236"/>
      <c r="DT48" s="236"/>
      <c r="DU48" s="236"/>
      <c r="DV48" s="236"/>
      <c r="DW48" s="236"/>
      <c r="DX48" s="236"/>
      <c r="DY48" s="236"/>
      <c r="DZ48" s="236"/>
      <c r="EA48" s="236"/>
      <c r="EB48" s="563"/>
      <c r="EC48" s="235"/>
      <c r="ED48" s="236"/>
      <c r="EE48" s="236"/>
      <c r="EF48" s="236"/>
      <c r="EG48" s="236"/>
      <c r="EH48" s="236"/>
      <c r="EI48" s="236"/>
      <c r="EJ48" s="236"/>
      <c r="EK48" s="236"/>
      <c r="EL48" s="236"/>
      <c r="EM48" s="236"/>
      <c r="EN48" s="236"/>
      <c r="EO48" s="236"/>
      <c r="EP48" s="236"/>
      <c r="EQ48" s="236"/>
      <c r="ER48" s="236"/>
      <c r="ES48" s="236"/>
      <c r="ET48" s="236"/>
      <c r="EU48" s="236"/>
      <c r="EV48" s="563"/>
      <c r="EW48" s="235"/>
      <c r="EX48" s="236"/>
      <c r="EY48" s="236"/>
      <c r="EZ48" s="236"/>
      <c r="FA48" s="236"/>
      <c r="FB48" s="236"/>
      <c r="FC48" s="236"/>
      <c r="FD48" s="236"/>
      <c r="FE48" s="236"/>
      <c r="FF48" s="236"/>
      <c r="FG48" s="236"/>
      <c r="FH48" s="236"/>
      <c r="FI48" s="236"/>
      <c r="FJ48" s="236"/>
      <c r="FK48" s="236"/>
      <c r="FL48" s="236"/>
      <c r="FM48" s="236"/>
      <c r="FN48" s="236"/>
      <c r="FO48" s="236"/>
      <c r="FP48" s="564"/>
      <c r="FQ48" s="362"/>
    </row>
    <row r="49" customFormat="false" ht="22.5" hidden="false" customHeight="true" outlineLevel="0" collapsed="false">
      <c r="B49" s="565"/>
      <c r="C49" s="566"/>
      <c r="D49" s="566"/>
      <c r="E49" s="567"/>
      <c r="F49" s="567"/>
      <c r="G49" s="568"/>
      <c r="H49" s="567"/>
      <c r="I49" s="569"/>
      <c r="J49" s="569"/>
      <c r="K49" s="570"/>
      <c r="L49" s="571"/>
      <c r="M49" s="572"/>
      <c r="N49" s="572"/>
      <c r="O49" s="572"/>
      <c r="P49" s="572"/>
      <c r="Q49" s="572"/>
      <c r="R49" s="572"/>
      <c r="S49" s="572"/>
      <c r="T49" s="572"/>
      <c r="U49" s="572"/>
      <c r="V49" s="572"/>
      <c r="W49" s="572"/>
      <c r="X49" s="572"/>
      <c r="Y49" s="572"/>
      <c r="Z49" s="572"/>
      <c r="AA49" s="572"/>
      <c r="AB49" s="572"/>
      <c r="AC49" s="572"/>
      <c r="AD49" s="572"/>
      <c r="AE49" s="572"/>
      <c r="AF49" s="572"/>
      <c r="AG49" s="572"/>
      <c r="AH49" s="572"/>
      <c r="AI49" s="572"/>
      <c r="AJ49" s="572"/>
      <c r="AK49" s="572"/>
      <c r="AL49" s="572"/>
      <c r="AM49" s="572"/>
      <c r="AN49" s="572"/>
      <c r="AO49" s="572"/>
      <c r="AP49" s="572"/>
      <c r="AQ49" s="572"/>
      <c r="AR49" s="572"/>
      <c r="AS49" s="572"/>
      <c r="AT49" s="572"/>
      <c r="AU49" s="572"/>
      <c r="AV49" s="572"/>
      <c r="AW49" s="572"/>
      <c r="AX49" s="572"/>
      <c r="AY49" s="572"/>
      <c r="AZ49" s="572"/>
      <c r="BA49" s="572"/>
      <c r="BB49" s="572"/>
      <c r="BC49" s="572"/>
      <c r="BD49" s="572"/>
      <c r="BE49" s="572"/>
      <c r="BF49" s="572"/>
      <c r="BG49" s="572"/>
      <c r="BH49" s="572"/>
      <c r="BI49" s="572"/>
      <c r="BJ49" s="572"/>
      <c r="BK49" s="572"/>
      <c r="BL49" s="572"/>
      <c r="BM49" s="572"/>
      <c r="BN49" s="572"/>
      <c r="BO49" s="572"/>
      <c r="BP49" s="572"/>
      <c r="BQ49" s="572"/>
      <c r="BR49" s="572"/>
      <c r="BS49" s="572"/>
      <c r="BT49" s="572"/>
      <c r="BU49" s="572"/>
      <c r="BV49" s="572"/>
      <c r="BW49" s="572"/>
      <c r="BX49" s="572"/>
      <c r="BY49" s="572"/>
      <c r="BZ49" s="572"/>
      <c r="CA49" s="572"/>
      <c r="CB49" s="572"/>
      <c r="CC49" s="572"/>
      <c r="CD49" s="572"/>
      <c r="CE49" s="572"/>
      <c r="CF49" s="572"/>
      <c r="CG49" s="572"/>
      <c r="CH49" s="572"/>
      <c r="CI49" s="572"/>
      <c r="CJ49" s="572"/>
      <c r="CK49" s="572"/>
      <c r="CL49" s="572"/>
      <c r="CM49" s="572"/>
      <c r="CN49" s="572"/>
      <c r="CO49" s="572"/>
      <c r="CP49" s="572"/>
      <c r="CQ49" s="572"/>
      <c r="CR49" s="572"/>
      <c r="CS49" s="572"/>
      <c r="CT49" s="572"/>
      <c r="CU49" s="572"/>
      <c r="CV49" s="572"/>
      <c r="CW49" s="572"/>
      <c r="CX49" s="572"/>
      <c r="CY49" s="572"/>
      <c r="CZ49" s="572"/>
      <c r="DA49" s="572"/>
      <c r="DB49" s="572"/>
      <c r="DC49" s="572"/>
      <c r="DD49" s="572"/>
      <c r="DE49" s="572"/>
      <c r="DF49" s="572"/>
      <c r="DG49" s="572"/>
      <c r="DH49" s="572"/>
      <c r="DI49" s="572"/>
      <c r="DJ49" s="572"/>
      <c r="DK49" s="572"/>
      <c r="DL49" s="572"/>
      <c r="DM49" s="572"/>
      <c r="DN49" s="572"/>
      <c r="DO49" s="572"/>
      <c r="DP49" s="572"/>
      <c r="DQ49" s="572"/>
      <c r="DR49" s="572"/>
      <c r="DS49" s="572"/>
      <c r="DT49" s="572"/>
      <c r="DU49" s="572"/>
      <c r="DV49" s="572"/>
      <c r="DW49" s="572"/>
      <c r="DX49" s="572"/>
      <c r="DY49" s="572"/>
      <c r="DZ49" s="572"/>
      <c r="EA49" s="572"/>
      <c r="EB49" s="572"/>
      <c r="EC49" s="572"/>
      <c r="ED49" s="572"/>
      <c r="EE49" s="572"/>
      <c r="EF49" s="572"/>
      <c r="EG49" s="572"/>
      <c r="EH49" s="572"/>
      <c r="EI49" s="572"/>
      <c r="EJ49" s="572"/>
      <c r="EK49" s="572"/>
      <c r="EL49" s="572"/>
      <c r="EM49" s="572"/>
      <c r="EN49" s="572"/>
      <c r="EO49" s="572"/>
      <c r="EP49" s="572"/>
      <c r="EQ49" s="572"/>
      <c r="ER49" s="572"/>
      <c r="ES49" s="572"/>
      <c r="ET49" s="572"/>
      <c r="EU49" s="572"/>
      <c r="EV49" s="572"/>
      <c r="EW49" s="572"/>
      <c r="EX49" s="572"/>
      <c r="EY49" s="572"/>
      <c r="EZ49" s="572"/>
      <c r="FA49" s="572"/>
      <c r="FB49" s="572"/>
      <c r="FC49" s="572"/>
      <c r="FD49" s="572"/>
      <c r="FE49" s="572"/>
      <c r="FF49" s="572"/>
      <c r="FG49" s="572"/>
      <c r="FH49" s="572"/>
      <c r="FI49" s="572"/>
      <c r="FJ49" s="572"/>
      <c r="FK49" s="572"/>
      <c r="FL49" s="572"/>
      <c r="FM49" s="572"/>
      <c r="FN49" s="572"/>
      <c r="FO49" s="572"/>
      <c r="FP49" s="572"/>
      <c r="FQ49" s="362"/>
    </row>
    <row r="50" customFormat="false" ht="22.5" hidden="false" customHeight="true" outlineLevel="0" collapsed="false">
      <c r="B50" s="565"/>
      <c r="C50" s="566"/>
      <c r="D50" s="566"/>
      <c r="E50" s="567"/>
      <c r="F50" s="567"/>
      <c r="G50" s="568"/>
      <c r="H50" s="567"/>
      <c r="I50" s="569"/>
      <c r="J50" s="569"/>
      <c r="K50" s="570"/>
      <c r="L50" s="571"/>
      <c r="M50" s="572"/>
      <c r="N50" s="572"/>
      <c r="O50" s="572"/>
      <c r="P50" s="572"/>
      <c r="Q50" s="572"/>
      <c r="R50" s="572"/>
      <c r="S50" s="572"/>
      <c r="T50" s="572"/>
      <c r="U50" s="572"/>
      <c r="V50" s="572"/>
      <c r="W50" s="572"/>
      <c r="X50" s="572"/>
      <c r="Y50" s="572"/>
      <c r="Z50" s="572"/>
      <c r="AA50" s="572"/>
      <c r="AB50" s="572"/>
      <c r="AC50" s="572"/>
      <c r="AD50" s="572"/>
      <c r="AE50" s="572"/>
      <c r="AF50" s="572"/>
      <c r="AG50" s="572"/>
      <c r="AH50" s="572"/>
      <c r="AI50" s="572"/>
      <c r="AJ50" s="572"/>
      <c r="AK50" s="572"/>
      <c r="AL50" s="572"/>
      <c r="AM50" s="572"/>
      <c r="AN50" s="572"/>
      <c r="AO50" s="572"/>
      <c r="AP50" s="572"/>
      <c r="AQ50" s="572"/>
      <c r="AR50" s="572"/>
      <c r="AS50" s="572"/>
      <c r="AT50" s="572"/>
      <c r="AU50" s="572"/>
      <c r="AV50" s="572"/>
      <c r="AW50" s="572"/>
      <c r="AX50" s="572"/>
      <c r="AY50" s="572"/>
      <c r="AZ50" s="572"/>
      <c r="BA50" s="572"/>
      <c r="BB50" s="572"/>
      <c r="BC50" s="572"/>
      <c r="BD50" s="572"/>
      <c r="BE50" s="572"/>
      <c r="BF50" s="572"/>
      <c r="BG50" s="572"/>
      <c r="BH50" s="572"/>
      <c r="BI50" s="572"/>
      <c r="BJ50" s="572"/>
      <c r="BK50" s="572"/>
      <c r="BL50" s="572"/>
      <c r="BM50" s="572"/>
      <c r="BN50" s="572"/>
      <c r="BO50" s="572"/>
      <c r="BP50" s="572"/>
      <c r="BQ50" s="572"/>
      <c r="BR50" s="572"/>
      <c r="BS50" s="572"/>
      <c r="BT50" s="572"/>
      <c r="BU50" s="572"/>
      <c r="BV50" s="572"/>
      <c r="BW50" s="572"/>
      <c r="BX50" s="572"/>
      <c r="BY50" s="572"/>
      <c r="BZ50" s="572"/>
      <c r="CA50" s="572"/>
      <c r="CB50" s="572"/>
      <c r="CC50" s="572"/>
      <c r="CD50" s="572"/>
      <c r="CE50" s="572"/>
      <c r="CF50" s="572"/>
      <c r="CG50" s="572"/>
      <c r="CH50" s="572"/>
      <c r="CI50" s="572"/>
      <c r="CJ50" s="572"/>
      <c r="CK50" s="572"/>
      <c r="CL50" s="572"/>
      <c r="CM50" s="572"/>
      <c r="CN50" s="572"/>
      <c r="CO50" s="572"/>
      <c r="CP50" s="572"/>
      <c r="CQ50" s="572"/>
      <c r="CR50" s="572"/>
      <c r="CS50" s="572"/>
      <c r="CT50" s="572"/>
      <c r="CU50" s="572"/>
      <c r="CV50" s="572"/>
      <c r="CW50" s="572"/>
      <c r="CX50" s="572"/>
      <c r="CY50" s="572"/>
      <c r="CZ50" s="572"/>
      <c r="DA50" s="572"/>
      <c r="DB50" s="572"/>
      <c r="DC50" s="572"/>
      <c r="DD50" s="572"/>
      <c r="DE50" s="572"/>
      <c r="DF50" s="572"/>
      <c r="DG50" s="572"/>
      <c r="DH50" s="572"/>
      <c r="DI50" s="572"/>
      <c r="DJ50" s="572"/>
      <c r="DK50" s="572"/>
      <c r="DL50" s="572"/>
      <c r="DM50" s="572"/>
      <c r="DN50" s="572"/>
      <c r="DO50" s="572"/>
      <c r="DP50" s="572"/>
      <c r="DQ50" s="572"/>
      <c r="DR50" s="572"/>
      <c r="DS50" s="572"/>
      <c r="DT50" s="572"/>
      <c r="DU50" s="572"/>
      <c r="DV50" s="572"/>
      <c r="DW50" s="572"/>
      <c r="DX50" s="572"/>
      <c r="DY50" s="572"/>
      <c r="DZ50" s="572"/>
      <c r="EA50" s="572"/>
      <c r="EB50" s="572"/>
      <c r="EC50" s="572"/>
      <c r="ED50" s="572"/>
      <c r="EE50" s="572"/>
      <c r="EF50" s="572"/>
      <c r="EG50" s="572"/>
      <c r="EH50" s="572"/>
      <c r="EI50" s="572"/>
      <c r="EJ50" s="572"/>
      <c r="EK50" s="572"/>
      <c r="EL50" s="572"/>
      <c r="EM50" s="572"/>
      <c r="EN50" s="572"/>
      <c r="EO50" s="572"/>
      <c r="EP50" s="572"/>
      <c r="EQ50" s="572"/>
      <c r="ER50" s="572"/>
      <c r="ES50" s="572"/>
      <c r="ET50" s="572"/>
      <c r="EU50" s="572"/>
      <c r="EV50" s="572"/>
      <c r="EW50" s="572"/>
      <c r="EX50" s="572"/>
      <c r="EY50" s="572"/>
      <c r="EZ50" s="572"/>
      <c r="FA50" s="572"/>
      <c r="FB50" s="572"/>
      <c r="FC50" s="572"/>
      <c r="FD50" s="572"/>
      <c r="FE50" s="572"/>
      <c r="FF50" s="572"/>
      <c r="FG50" s="572"/>
      <c r="FH50" s="572"/>
      <c r="FI50" s="572"/>
      <c r="FJ50" s="572"/>
      <c r="FK50" s="572"/>
      <c r="FL50" s="572"/>
      <c r="FM50" s="572"/>
      <c r="FN50" s="572"/>
      <c r="FO50" s="572"/>
      <c r="FP50" s="572"/>
      <c r="FQ50" s="362"/>
    </row>
    <row r="51" customFormat="false" ht="22.5" hidden="false" customHeight="true" outlineLevel="0" collapsed="false">
      <c r="B51" s="565"/>
      <c r="C51" s="566"/>
      <c r="D51" s="566"/>
      <c r="E51" s="567"/>
      <c r="F51" s="567"/>
      <c r="G51" s="568"/>
      <c r="H51" s="567"/>
      <c r="I51" s="569"/>
      <c r="J51" s="569"/>
      <c r="K51" s="570"/>
      <c r="L51" s="571"/>
      <c r="M51" s="572"/>
      <c r="N51" s="572"/>
      <c r="O51" s="572"/>
      <c r="P51" s="572"/>
      <c r="Q51" s="572"/>
      <c r="R51" s="572"/>
      <c r="S51" s="572"/>
      <c r="T51" s="572"/>
      <c r="U51" s="572"/>
      <c r="V51" s="572"/>
      <c r="W51" s="572"/>
      <c r="X51" s="572"/>
      <c r="Y51" s="572"/>
      <c r="Z51" s="572"/>
      <c r="AA51" s="572"/>
      <c r="AB51" s="572"/>
      <c r="AC51" s="572"/>
      <c r="AD51" s="572"/>
      <c r="AE51" s="572"/>
      <c r="AF51" s="572"/>
      <c r="AG51" s="572"/>
      <c r="AH51" s="572"/>
      <c r="AI51" s="572"/>
      <c r="AJ51" s="572"/>
      <c r="AK51" s="572"/>
      <c r="AL51" s="572"/>
      <c r="AM51" s="572"/>
      <c r="AN51" s="572"/>
      <c r="AO51" s="572"/>
      <c r="AP51" s="572"/>
      <c r="AQ51" s="572"/>
      <c r="AR51" s="572"/>
      <c r="AS51" s="572"/>
      <c r="AT51" s="572"/>
      <c r="AU51" s="572"/>
      <c r="AV51" s="572"/>
      <c r="AW51" s="572"/>
      <c r="AX51" s="572"/>
      <c r="AY51" s="572"/>
      <c r="AZ51" s="572"/>
      <c r="BA51" s="572"/>
      <c r="BB51" s="572"/>
      <c r="BC51" s="572"/>
      <c r="BD51" s="572"/>
      <c r="BE51" s="572"/>
      <c r="BF51" s="572"/>
      <c r="BG51" s="572"/>
      <c r="BH51" s="572"/>
      <c r="BI51" s="572"/>
      <c r="BJ51" s="572"/>
      <c r="BK51" s="572"/>
      <c r="BL51" s="572"/>
      <c r="BM51" s="572"/>
      <c r="BN51" s="572"/>
      <c r="BO51" s="572"/>
      <c r="BP51" s="572"/>
      <c r="BQ51" s="572"/>
      <c r="BR51" s="572"/>
      <c r="BS51" s="572"/>
      <c r="BT51" s="572"/>
      <c r="BU51" s="572"/>
      <c r="BV51" s="572"/>
      <c r="BW51" s="572"/>
      <c r="BX51" s="572"/>
      <c r="BY51" s="572"/>
      <c r="BZ51" s="572"/>
      <c r="CA51" s="572"/>
      <c r="CB51" s="572"/>
      <c r="CC51" s="572"/>
      <c r="CD51" s="572"/>
      <c r="CE51" s="572"/>
      <c r="CF51" s="572"/>
      <c r="CG51" s="572"/>
      <c r="CH51" s="572"/>
      <c r="CI51" s="572"/>
      <c r="CJ51" s="572"/>
      <c r="CK51" s="572"/>
      <c r="CL51" s="572"/>
      <c r="CM51" s="572"/>
      <c r="CN51" s="572"/>
      <c r="CO51" s="572"/>
      <c r="CP51" s="572"/>
      <c r="CQ51" s="572"/>
      <c r="CR51" s="572"/>
      <c r="CS51" s="572"/>
      <c r="CT51" s="572"/>
      <c r="CU51" s="572"/>
      <c r="CV51" s="572"/>
      <c r="CW51" s="572"/>
      <c r="CX51" s="572"/>
      <c r="CY51" s="572"/>
      <c r="CZ51" s="572"/>
      <c r="DA51" s="572"/>
      <c r="DB51" s="572"/>
      <c r="DC51" s="572"/>
      <c r="DD51" s="572"/>
      <c r="DE51" s="572"/>
      <c r="DF51" s="572"/>
      <c r="DG51" s="572"/>
      <c r="DH51" s="572"/>
      <c r="DI51" s="572"/>
      <c r="DJ51" s="572"/>
      <c r="DK51" s="572"/>
      <c r="DL51" s="572"/>
      <c r="DM51" s="572"/>
      <c r="DN51" s="572"/>
      <c r="DO51" s="572"/>
      <c r="DP51" s="572"/>
      <c r="DQ51" s="572"/>
      <c r="DR51" s="572"/>
      <c r="DS51" s="572"/>
      <c r="DT51" s="572"/>
      <c r="DU51" s="572"/>
      <c r="DV51" s="572"/>
      <c r="DW51" s="572"/>
      <c r="DX51" s="572"/>
      <c r="DY51" s="572"/>
      <c r="DZ51" s="572"/>
      <c r="EA51" s="572"/>
      <c r="EB51" s="572"/>
      <c r="EC51" s="572"/>
      <c r="ED51" s="572"/>
      <c r="EE51" s="572"/>
      <c r="EF51" s="572"/>
      <c r="EG51" s="572"/>
      <c r="EH51" s="572"/>
      <c r="EI51" s="572"/>
      <c r="EJ51" s="572"/>
      <c r="EK51" s="572"/>
      <c r="EL51" s="572"/>
      <c r="EM51" s="572"/>
      <c r="EN51" s="572"/>
      <c r="EO51" s="572"/>
      <c r="EP51" s="572"/>
      <c r="EQ51" s="572"/>
      <c r="ER51" s="572"/>
      <c r="ES51" s="572"/>
      <c r="ET51" s="572"/>
      <c r="EU51" s="572"/>
      <c r="EV51" s="572"/>
      <c r="EW51" s="572"/>
      <c r="EX51" s="572"/>
      <c r="EY51" s="572"/>
      <c r="EZ51" s="572"/>
      <c r="FA51" s="572"/>
      <c r="FB51" s="572"/>
      <c r="FC51" s="572"/>
      <c r="FD51" s="572"/>
      <c r="FE51" s="572"/>
      <c r="FF51" s="572"/>
      <c r="FG51" s="572"/>
      <c r="FH51" s="572"/>
      <c r="FI51" s="572"/>
      <c r="FJ51" s="572"/>
      <c r="FK51" s="572"/>
      <c r="FL51" s="572"/>
      <c r="FM51" s="572"/>
      <c r="FN51" s="572"/>
      <c r="FO51" s="572"/>
      <c r="FP51" s="572"/>
      <c r="FQ51" s="362"/>
    </row>
    <row r="52" customFormat="false" ht="22.5" hidden="false" customHeight="true" outlineLevel="0" collapsed="false">
      <c r="B52" s="565"/>
      <c r="C52" s="566"/>
      <c r="D52" s="566"/>
      <c r="E52" s="567"/>
      <c r="F52" s="567"/>
      <c r="G52" s="568"/>
      <c r="H52" s="567"/>
      <c r="I52" s="569"/>
      <c r="J52" s="569"/>
      <c r="K52" s="570"/>
      <c r="L52" s="571"/>
      <c r="M52" s="572"/>
      <c r="N52" s="572"/>
      <c r="O52" s="572"/>
      <c r="P52" s="572"/>
      <c r="Q52" s="572"/>
      <c r="R52" s="572"/>
      <c r="S52" s="572"/>
      <c r="T52" s="572"/>
      <c r="U52" s="572"/>
      <c r="V52" s="572"/>
      <c r="W52" s="572"/>
      <c r="X52" s="572"/>
      <c r="Y52" s="572"/>
      <c r="Z52" s="572"/>
      <c r="AA52" s="572"/>
      <c r="AB52" s="572"/>
      <c r="AC52" s="572"/>
      <c r="AD52" s="572"/>
      <c r="AE52" s="572"/>
      <c r="AF52" s="572"/>
      <c r="AG52" s="572"/>
      <c r="AH52" s="572"/>
      <c r="AI52" s="572"/>
      <c r="AJ52" s="572"/>
      <c r="AK52" s="572"/>
      <c r="AL52" s="572"/>
      <c r="AM52" s="572"/>
      <c r="AN52" s="572"/>
      <c r="AO52" s="572"/>
      <c r="AP52" s="572"/>
      <c r="AQ52" s="572"/>
      <c r="AR52" s="572"/>
      <c r="AS52" s="572"/>
      <c r="AT52" s="572"/>
      <c r="AU52" s="572"/>
      <c r="AV52" s="572"/>
      <c r="AW52" s="572"/>
      <c r="AX52" s="572"/>
      <c r="AY52" s="572"/>
      <c r="AZ52" s="572"/>
      <c r="BA52" s="572"/>
      <c r="BB52" s="572"/>
      <c r="BC52" s="572"/>
      <c r="BD52" s="572"/>
      <c r="BE52" s="572"/>
      <c r="BF52" s="572"/>
      <c r="BG52" s="572"/>
      <c r="BH52" s="572"/>
      <c r="BI52" s="572"/>
      <c r="BJ52" s="572"/>
      <c r="BK52" s="572"/>
      <c r="BL52" s="572"/>
      <c r="BM52" s="572"/>
      <c r="BN52" s="572"/>
      <c r="BO52" s="572"/>
      <c r="BP52" s="572"/>
      <c r="BQ52" s="572"/>
      <c r="BR52" s="572"/>
      <c r="BS52" s="572"/>
      <c r="BT52" s="572"/>
      <c r="BU52" s="572"/>
      <c r="BV52" s="572"/>
      <c r="BW52" s="572"/>
      <c r="BX52" s="572"/>
      <c r="BY52" s="572"/>
      <c r="BZ52" s="572"/>
      <c r="CA52" s="572"/>
      <c r="CB52" s="572"/>
      <c r="CC52" s="572"/>
      <c r="CD52" s="572"/>
      <c r="CE52" s="572"/>
      <c r="CF52" s="572"/>
      <c r="CG52" s="572"/>
      <c r="CH52" s="572"/>
      <c r="CI52" s="572"/>
      <c r="CJ52" s="572"/>
      <c r="CK52" s="572"/>
      <c r="CL52" s="572"/>
      <c r="CM52" s="572"/>
      <c r="CN52" s="572"/>
      <c r="CO52" s="572"/>
      <c r="CP52" s="572"/>
      <c r="CQ52" s="572"/>
      <c r="CR52" s="572"/>
      <c r="CS52" s="572"/>
      <c r="CT52" s="572"/>
      <c r="CU52" s="572"/>
      <c r="CV52" s="572"/>
      <c r="CW52" s="572"/>
      <c r="CX52" s="572"/>
      <c r="CY52" s="572"/>
      <c r="CZ52" s="572"/>
      <c r="DA52" s="572"/>
      <c r="DB52" s="572"/>
      <c r="DC52" s="572"/>
      <c r="DD52" s="572"/>
      <c r="DE52" s="572"/>
      <c r="DF52" s="572"/>
      <c r="DG52" s="572"/>
      <c r="DH52" s="572"/>
      <c r="DI52" s="572"/>
      <c r="DJ52" s="572"/>
      <c r="DK52" s="572"/>
      <c r="DL52" s="572"/>
      <c r="DM52" s="572"/>
      <c r="DN52" s="572"/>
      <c r="DO52" s="572"/>
      <c r="DP52" s="572"/>
      <c r="DQ52" s="572"/>
      <c r="DR52" s="572"/>
      <c r="DS52" s="572"/>
      <c r="DT52" s="572"/>
      <c r="DU52" s="572"/>
      <c r="DV52" s="572"/>
      <c r="DW52" s="572"/>
      <c r="DX52" s="572"/>
      <c r="DY52" s="572"/>
      <c r="DZ52" s="572"/>
      <c r="EA52" s="572"/>
      <c r="EB52" s="572"/>
      <c r="EC52" s="572"/>
      <c r="ED52" s="572"/>
      <c r="EE52" s="572"/>
      <c r="EF52" s="572"/>
      <c r="EG52" s="572"/>
      <c r="EH52" s="572"/>
      <c r="EI52" s="572"/>
      <c r="EJ52" s="572"/>
      <c r="EK52" s="572"/>
      <c r="EL52" s="572"/>
      <c r="EM52" s="572"/>
      <c r="EN52" s="572"/>
      <c r="EO52" s="572"/>
      <c r="EP52" s="572"/>
      <c r="EQ52" s="572"/>
      <c r="ER52" s="572"/>
      <c r="ES52" s="572"/>
      <c r="ET52" s="572"/>
      <c r="EU52" s="572"/>
      <c r="EV52" s="572"/>
      <c r="EW52" s="572"/>
      <c r="EX52" s="572"/>
      <c r="EY52" s="572"/>
      <c r="EZ52" s="572"/>
      <c r="FA52" s="572"/>
      <c r="FB52" s="572"/>
      <c r="FC52" s="572"/>
      <c r="FD52" s="572"/>
      <c r="FE52" s="572"/>
      <c r="FF52" s="572"/>
      <c r="FG52" s="572"/>
      <c r="FH52" s="572"/>
      <c r="FI52" s="572"/>
      <c r="FJ52" s="572"/>
      <c r="FK52" s="572"/>
      <c r="FL52" s="572"/>
      <c r="FM52" s="572"/>
      <c r="FN52" s="572"/>
      <c r="FO52" s="572"/>
      <c r="FP52" s="572"/>
      <c r="FQ52" s="362"/>
    </row>
    <row r="53" customFormat="false" ht="22.5" hidden="false" customHeight="true" outlineLevel="0" collapsed="false">
      <c r="B53" s="565"/>
      <c r="C53" s="566"/>
      <c r="D53" s="566"/>
      <c r="E53" s="567"/>
      <c r="F53" s="567"/>
      <c r="G53" s="568"/>
      <c r="H53" s="567"/>
      <c r="I53" s="569"/>
      <c r="J53" s="569"/>
      <c r="K53" s="570"/>
      <c r="L53" s="571"/>
      <c r="M53" s="572"/>
      <c r="N53" s="572"/>
      <c r="O53" s="572"/>
      <c r="P53" s="572"/>
      <c r="Q53" s="572"/>
      <c r="R53" s="572"/>
      <c r="S53" s="572"/>
      <c r="T53" s="572"/>
      <c r="U53" s="572"/>
      <c r="V53" s="572"/>
      <c r="W53" s="572"/>
      <c r="X53" s="572"/>
      <c r="Y53" s="572"/>
      <c r="Z53" s="572"/>
      <c r="AA53" s="572"/>
      <c r="AB53" s="572"/>
      <c r="AC53" s="572"/>
      <c r="AD53" s="572"/>
      <c r="AE53" s="572"/>
      <c r="AF53" s="572"/>
      <c r="AG53" s="572"/>
      <c r="AH53" s="572"/>
      <c r="AI53" s="572"/>
      <c r="AJ53" s="572"/>
      <c r="AK53" s="572"/>
      <c r="AL53" s="572"/>
      <c r="AM53" s="572"/>
      <c r="AN53" s="572"/>
      <c r="AO53" s="572"/>
      <c r="AP53" s="572"/>
      <c r="AQ53" s="572"/>
      <c r="AR53" s="572"/>
      <c r="AS53" s="572"/>
      <c r="AT53" s="572"/>
      <c r="AU53" s="572"/>
      <c r="AV53" s="572"/>
      <c r="AW53" s="572"/>
      <c r="AX53" s="572"/>
      <c r="AY53" s="572"/>
      <c r="AZ53" s="572"/>
      <c r="BA53" s="572"/>
      <c r="BB53" s="572"/>
      <c r="BC53" s="572"/>
      <c r="BD53" s="572"/>
      <c r="BE53" s="572"/>
      <c r="BF53" s="572"/>
      <c r="BG53" s="572"/>
      <c r="BH53" s="572"/>
      <c r="BI53" s="572"/>
      <c r="BJ53" s="572"/>
      <c r="BK53" s="572"/>
      <c r="BL53" s="572"/>
      <c r="BM53" s="572"/>
      <c r="BN53" s="572"/>
      <c r="BO53" s="572"/>
      <c r="BP53" s="572"/>
      <c r="BQ53" s="572"/>
      <c r="BR53" s="572"/>
      <c r="BS53" s="572"/>
      <c r="BT53" s="572"/>
      <c r="BU53" s="572"/>
      <c r="BV53" s="572"/>
      <c r="BW53" s="572"/>
      <c r="BX53" s="572"/>
      <c r="BY53" s="572"/>
      <c r="BZ53" s="572"/>
      <c r="CA53" s="572"/>
      <c r="CB53" s="572"/>
      <c r="CC53" s="572"/>
      <c r="CD53" s="572"/>
      <c r="CE53" s="572"/>
      <c r="CF53" s="572"/>
      <c r="CG53" s="572"/>
      <c r="CH53" s="572"/>
      <c r="CI53" s="572"/>
      <c r="CJ53" s="572"/>
      <c r="CK53" s="572"/>
      <c r="CL53" s="572"/>
      <c r="CM53" s="572"/>
      <c r="CN53" s="572"/>
      <c r="CO53" s="572"/>
      <c r="CP53" s="572"/>
      <c r="CQ53" s="572"/>
      <c r="CR53" s="572"/>
      <c r="CS53" s="572"/>
      <c r="CT53" s="572"/>
      <c r="CU53" s="572"/>
      <c r="CV53" s="572"/>
      <c r="CW53" s="572"/>
      <c r="CX53" s="572"/>
      <c r="CY53" s="572"/>
      <c r="CZ53" s="572"/>
      <c r="DA53" s="572"/>
      <c r="DB53" s="572"/>
      <c r="DC53" s="572"/>
      <c r="DD53" s="572"/>
      <c r="DE53" s="572"/>
      <c r="DF53" s="572"/>
      <c r="DG53" s="572"/>
      <c r="DH53" s="572"/>
      <c r="DI53" s="572"/>
      <c r="DJ53" s="572"/>
      <c r="DK53" s="572"/>
      <c r="DL53" s="572"/>
      <c r="DM53" s="572"/>
      <c r="DN53" s="572"/>
      <c r="DO53" s="572"/>
      <c r="DP53" s="572"/>
      <c r="DQ53" s="572"/>
      <c r="DR53" s="572"/>
      <c r="DS53" s="572"/>
      <c r="DT53" s="572"/>
      <c r="DU53" s="572"/>
      <c r="DV53" s="572"/>
      <c r="DW53" s="572"/>
      <c r="DX53" s="572"/>
      <c r="DY53" s="572"/>
      <c r="DZ53" s="572"/>
      <c r="EA53" s="572"/>
      <c r="EB53" s="572"/>
      <c r="EC53" s="572"/>
      <c r="ED53" s="572"/>
      <c r="EE53" s="572"/>
      <c r="EF53" s="572"/>
      <c r="EG53" s="572"/>
      <c r="EH53" s="572"/>
      <c r="EI53" s="572"/>
      <c r="EJ53" s="572"/>
      <c r="EK53" s="572"/>
      <c r="EL53" s="572"/>
      <c r="EM53" s="572"/>
      <c r="EN53" s="572"/>
      <c r="EO53" s="572"/>
      <c r="EP53" s="572"/>
      <c r="EQ53" s="572"/>
      <c r="ER53" s="572"/>
      <c r="ES53" s="572"/>
      <c r="ET53" s="572"/>
      <c r="EU53" s="572"/>
      <c r="EV53" s="572"/>
      <c r="EW53" s="572"/>
      <c r="EX53" s="572"/>
      <c r="EY53" s="572"/>
      <c r="EZ53" s="572"/>
      <c r="FA53" s="572"/>
      <c r="FB53" s="572"/>
      <c r="FC53" s="572"/>
      <c r="FD53" s="572"/>
      <c r="FE53" s="572"/>
      <c r="FF53" s="572"/>
      <c r="FG53" s="572"/>
      <c r="FH53" s="572"/>
      <c r="FI53" s="572"/>
      <c r="FJ53" s="572"/>
      <c r="FK53" s="572"/>
      <c r="FL53" s="572"/>
      <c r="FM53" s="572"/>
      <c r="FN53" s="572"/>
      <c r="FO53" s="572"/>
      <c r="FP53" s="572"/>
      <c r="FQ53" s="362"/>
    </row>
    <row r="54" customFormat="false" ht="22.5" hidden="false" customHeight="true" outlineLevel="0" collapsed="false">
      <c r="B54" s="565"/>
      <c r="C54" s="566"/>
      <c r="D54" s="566"/>
      <c r="E54" s="567"/>
      <c r="F54" s="567"/>
      <c r="G54" s="568"/>
      <c r="H54" s="567"/>
      <c r="I54" s="569"/>
      <c r="J54" s="569"/>
      <c r="K54" s="570"/>
      <c r="L54" s="571"/>
      <c r="M54" s="572"/>
      <c r="N54" s="572"/>
      <c r="O54" s="572"/>
      <c r="P54" s="572"/>
      <c r="Q54" s="572"/>
      <c r="R54" s="572"/>
      <c r="S54" s="572"/>
      <c r="T54" s="572"/>
      <c r="U54" s="572"/>
      <c r="V54" s="572"/>
      <c r="W54" s="572"/>
      <c r="X54" s="572"/>
      <c r="Y54" s="572"/>
      <c r="Z54" s="572"/>
      <c r="AA54" s="572"/>
      <c r="AB54" s="572"/>
      <c r="AC54" s="572"/>
      <c r="AD54" s="572"/>
      <c r="AE54" s="572"/>
      <c r="AF54" s="572"/>
      <c r="AG54" s="572"/>
      <c r="AH54" s="572"/>
      <c r="AI54" s="572"/>
      <c r="AJ54" s="572"/>
      <c r="AK54" s="572"/>
      <c r="AL54" s="572"/>
      <c r="AM54" s="572"/>
      <c r="AN54" s="572"/>
      <c r="AO54" s="572"/>
      <c r="AP54" s="572"/>
      <c r="AQ54" s="572"/>
      <c r="AR54" s="572"/>
      <c r="AS54" s="572"/>
      <c r="AT54" s="572"/>
      <c r="AU54" s="572"/>
      <c r="AV54" s="572"/>
      <c r="AW54" s="572"/>
      <c r="AX54" s="572"/>
      <c r="AY54" s="572"/>
      <c r="AZ54" s="572"/>
      <c r="BA54" s="572"/>
      <c r="BB54" s="572"/>
      <c r="BC54" s="572"/>
      <c r="BD54" s="572"/>
      <c r="BE54" s="572"/>
      <c r="BF54" s="572"/>
      <c r="BG54" s="572"/>
      <c r="BH54" s="572"/>
      <c r="BI54" s="572"/>
      <c r="BJ54" s="572"/>
      <c r="BK54" s="572"/>
      <c r="BL54" s="572"/>
      <c r="BM54" s="572"/>
      <c r="BN54" s="572"/>
      <c r="BO54" s="572"/>
      <c r="BP54" s="572"/>
      <c r="BQ54" s="572"/>
      <c r="BR54" s="572"/>
      <c r="BS54" s="572"/>
      <c r="BT54" s="572"/>
      <c r="BU54" s="572"/>
      <c r="BV54" s="572"/>
      <c r="BW54" s="572"/>
      <c r="BX54" s="572"/>
      <c r="BY54" s="572"/>
      <c r="BZ54" s="572"/>
      <c r="CA54" s="572"/>
      <c r="CB54" s="572"/>
      <c r="CC54" s="572"/>
      <c r="CD54" s="572"/>
      <c r="CE54" s="572"/>
      <c r="CF54" s="572"/>
      <c r="CG54" s="572"/>
      <c r="CH54" s="572"/>
      <c r="CI54" s="572"/>
      <c r="CJ54" s="572"/>
      <c r="CK54" s="572"/>
      <c r="CL54" s="572"/>
      <c r="CM54" s="572"/>
      <c r="CN54" s="572"/>
      <c r="CO54" s="572"/>
      <c r="CP54" s="572"/>
      <c r="CQ54" s="572"/>
      <c r="CR54" s="572"/>
      <c r="CS54" s="572"/>
      <c r="CT54" s="572"/>
      <c r="CU54" s="572"/>
      <c r="CV54" s="572"/>
      <c r="CW54" s="572"/>
      <c r="CX54" s="572"/>
      <c r="CY54" s="572"/>
      <c r="CZ54" s="572"/>
      <c r="DA54" s="572"/>
      <c r="DB54" s="572"/>
      <c r="DC54" s="572"/>
      <c r="DD54" s="572"/>
      <c r="DE54" s="572"/>
      <c r="DF54" s="572"/>
      <c r="DG54" s="572"/>
      <c r="DH54" s="572"/>
      <c r="DI54" s="572"/>
      <c r="DJ54" s="572"/>
      <c r="DK54" s="572"/>
      <c r="DL54" s="572"/>
      <c r="DM54" s="572"/>
      <c r="DN54" s="572"/>
      <c r="DO54" s="572"/>
      <c r="DP54" s="572"/>
      <c r="DQ54" s="572"/>
      <c r="DR54" s="572"/>
      <c r="DS54" s="572"/>
      <c r="DT54" s="572"/>
      <c r="DU54" s="572"/>
      <c r="DV54" s="572"/>
      <c r="DW54" s="572"/>
      <c r="DX54" s="572"/>
      <c r="DY54" s="572"/>
      <c r="DZ54" s="572"/>
      <c r="EA54" s="572"/>
      <c r="EB54" s="572"/>
      <c r="EC54" s="572"/>
      <c r="ED54" s="572"/>
      <c r="EE54" s="572"/>
      <c r="EF54" s="572"/>
      <c r="EG54" s="572"/>
      <c r="EH54" s="572"/>
      <c r="EI54" s="572"/>
      <c r="EJ54" s="572"/>
      <c r="EK54" s="572"/>
      <c r="EL54" s="572"/>
      <c r="EM54" s="572"/>
      <c r="EN54" s="572"/>
      <c r="EO54" s="572"/>
      <c r="EP54" s="572"/>
      <c r="EQ54" s="572"/>
      <c r="ER54" s="572"/>
      <c r="ES54" s="572"/>
      <c r="ET54" s="572"/>
      <c r="EU54" s="572"/>
      <c r="EV54" s="572"/>
      <c r="EW54" s="572"/>
      <c r="EX54" s="572"/>
      <c r="EY54" s="572"/>
      <c r="EZ54" s="572"/>
      <c r="FA54" s="572"/>
      <c r="FB54" s="572"/>
      <c r="FC54" s="572"/>
      <c r="FD54" s="572"/>
      <c r="FE54" s="572"/>
      <c r="FF54" s="572"/>
      <c r="FG54" s="572"/>
      <c r="FH54" s="572"/>
      <c r="FI54" s="572"/>
      <c r="FJ54" s="572"/>
      <c r="FK54" s="572"/>
      <c r="FL54" s="572"/>
      <c r="FM54" s="572"/>
      <c r="FN54" s="572"/>
      <c r="FO54" s="572"/>
      <c r="FP54" s="572"/>
      <c r="FQ54" s="362"/>
    </row>
    <row r="55" customFormat="false" ht="22.5" hidden="false" customHeight="true" outlineLevel="0" collapsed="false">
      <c r="B55" s="565"/>
      <c r="C55" s="566"/>
      <c r="D55" s="566"/>
      <c r="E55" s="567"/>
      <c r="F55" s="567"/>
      <c r="G55" s="568"/>
      <c r="H55" s="567"/>
      <c r="I55" s="569"/>
      <c r="J55" s="569"/>
      <c r="K55" s="570"/>
      <c r="L55" s="571"/>
      <c r="M55" s="572"/>
      <c r="N55" s="572"/>
      <c r="O55" s="572"/>
      <c r="P55" s="572"/>
      <c r="Q55" s="572"/>
      <c r="R55" s="572"/>
      <c r="S55" s="572"/>
      <c r="T55" s="572"/>
      <c r="U55" s="572"/>
      <c r="V55" s="572"/>
      <c r="W55" s="572"/>
      <c r="X55" s="572"/>
      <c r="Y55" s="572"/>
      <c r="Z55" s="572"/>
      <c r="AA55" s="572"/>
      <c r="AB55" s="572"/>
      <c r="AC55" s="572"/>
      <c r="AD55" s="572"/>
      <c r="AE55" s="572"/>
      <c r="AF55" s="572"/>
      <c r="AG55" s="572"/>
      <c r="AH55" s="572"/>
      <c r="AI55" s="572"/>
      <c r="AJ55" s="572"/>
      <c r="AK55" s="572"/>
      <c r="AL55" s="572"/>
      <c r="AM55" s="572"/>
      <c r="AN55" s="572"/>
      <c r="AO55" s="572"/>
      <c r="AP55" s="572"/>
      <c r="AQ55" s="572"/>
      <c r="AR55" s="572"/>
      <c r="AS55" s="572"/>
      <c r="AT55" s="572"/>
      <c r="AU55" s="572"/>
      <c r="AV55" s="572"/>
      <c r="AW55" s="572"/>
      <c r="AX55" s="572"/>
      <c r="AY55" s="572"/>
      <c r="AZ55" s="572"/>
      <c r="BA55" s="572"/>
      <c r="BB55" s="572"/>
      <c r="BC55" s="572"/>
      <c r="BD55" s="572"/>
      <c r="BE55" s="572"/>
      <c r="BF55" s="572"/>
      <c r="BG55" s="572"/>
      <c r="BH55" s="572"/>
      <c r="BI55" s="572"/>
      <c r="BJ55" s="572"/>
      <c r="BK55" s="572"/>
      <c r="BL55" s="572"/>
      <c r="BM55" s="572"/>
      <c r="BN55" s="572"/>
      <c r="BO55" s="572"/>
      <c r="BP55" s="572"/>
      <c r="BQ55" s="572"/>
      <c r="BR55" s="572"/>
      <c r="BS55" s="572"/>
      <c r="BT55" s="572"/>
      <c r="BU55" s="572"/>
      <c r="BV55" s="572"/>
      <c r="BW55" s="572"/>
      <c r="BX55" s="572"/>
      <c r="BY55" s="572"/>
      <c r="BZ55" s="572"/>
      <c r="CA55" s="572"/>
      <c r="CB55" s="572"/>
      <c r="CC55" s="572"/>
      <c r="CD55" s="572"/>
      <c r="CE55" s="572"/>
      <c r="CF55" s="572"/>
      <c r="CG55" s="572"/>
      <c r="CH55" s="572"/>
      <c r="CI55" s="572"/>
      <c r="CJ55" s="572"/>
      <c r="CK55" s="572"/>
      <c r="CL55" s="572"/>
      <c r="CM55" s="572"/>
      <c r="CN55" s="572"/>
      <c r="CO55" s="572"/>
      <c r="CP55" s="572"/>
      <c r="CQ55" s="572"/>
      <c r="CR55" s="572"/>
      <c r="CS55" s="572"/>
      <c r="CT55" s="572"/>
      <c r="CU55" s="572"/>
      <c r="CV55" s="572"/>
      <c r="CW55" s="572"/>
      <c r="CX55" s="572"/>
      <c r="CY55" s="572"/>
      <c r="CZ55" s="572"/>
      <c r="DA55" s="572"/>
      <c r="DB55" s="572"/>
      <c r="DC55" s="572"/>
      <c r="DD55" s="572"/>
      <c r="DE55" s="572"/>
      <c r="DF55" s="572"/>
      <c r="DG55" s="572"/>
      <c r="DH55" s="572"/>
      <c r="DI55" s="572"/>
      <c r="DJ55" s="572"/>
      <c r="DK55" s="572"/>
      <c r="DL55" s="572"/>
      <c r="DM55" s="572"/>
      <c r="DN55" s="572"/>
      <c r="DO55" s="572"/>
      <c r="DP55" s="572"/>
      <c r="DQ55" s="572"/>
      <c r="DR55" s="572"/>
      <c r="DS55" s="572"/>
      <c r="DT55" s="572"/>
      <c r="DU55" s="572"/>
      <c r="DV55" s="572"/>
      <c r="DW55" s="572"/>
      <c r="DX55" s="572"/>
      <c r="DY55" s="572"/>
      <c r="DZ55" s="572"/>
      <c r="EA55" s="572"/>
      <c r="EB55" s="572"/>
      <c r="EC55" s="572"/>
      <c r="ED55" s="572"/>
      <c r="EE55" s="572"/>
      <c r="EF55" s="572"/>
      <c r="EG55" s="572"/>
      <c r="EH55" s="572"/>
      <c r="EI55" s="572"/>
      <c r="EJ55" s="572"/>
      <c r="EK55" s="572"/>
      <c r="EL55" s="572"/>
      <c r="EM55" s="572"/>
      <c r="EN55" s="572"/>
      <c r="EO55" s="572"/>
      <c r="EP55" s="572"/>
      <c r="EQ55" s="572"/>
      <c r="ER55" s="572"/>
      <c r="ES55" s="572"/>
      <c r="ET55" s="572"/>
      <c r="EU55" s="572"/>
      <c r="EV55" s="572"/>
      <c r="EW55" s="572"/>
      <c r="EX55" s="572"/>
      <c r="EY55" s="572"/>
      <c r="EZ55" s="572"/>
      <c r="FA55" s="572"/>
      <c r="FB55" s="572"/>
      <c r="FC55" s="572"/>
      <c r="FD55" s="572"/>
      <c r="FE55" s="572"/>
      <c r="FF55" s="572"/>
      <c r="FG55" s="572"/>
      <c r="FH55" s="572"/>
      <c r="FI55" s="572"/>
      <c r="FJ55" s="572"/>
      <c r="FK55" s="572"/>
      <c r="FL55" s="572"/>
      <c r="FM55" s="572"/>
      <c r="FN55" s="572"/>
      <c r="FO55" s="572"/>
      <c r="FP55" s="572"/>
      <c r="FQ55" s="362"/>
    </row>
    <row r="56" customFormat="false" ht="22.5" hidden="false" customHeight="true" outlineLevel="0" collapsed="false">
      <c r="B56" s="565"/>
      <c r="C56" s="566"/>
      <c r="D56" s="566"/>
      <c r="E56" s="567"/>
      <c r="F56" s="567"/>
      <c r="G56" s="568"/>
      <c r="H56" s="567"/>
      <c r="I56" s="569"/>
      <c r="J56" s="569"/>
      <c r="K56" s="570"/>
      <c r="L56" s="571"/>
      <c r="M56" s="572"/>
      <c r="N56" s="572"/>
      <c r="O56" s="572"/>
      <c r="P56" s="572"/>
      <c r="Q56" s="572"/>
      <c r="R56" s="572"/>
      <c r="S56" s="572"/>
      <c r="T56" s="572"/>
      <c r="U56" s="572"/>
      <c r="V56" s="572"/>
      <c r="W56" s="572"/>
      <c r="X56" s="572"/>
      <c r="Y56" s="572"/>
      <c r="Z56" s="572"/>
      <c r="AA56" s="572"/>
      <c r="AB56" s="572"/>
      <c r="AC56" s="572"/>
      <c r="AD56" s="572"/>
      <c r="AE56" s="572"/>
      <c r="AF56" s="572"/>
      <c r="AG56" s="572"/>
      <c r="AH56" s="572"/>
      <c r="AI56" s="572"/>
      <c r="AJ56" s="572"/>
      <c r="AK56" s="572"/>
      <c r="AL56" s="572"/>
      <c r="AM56" s="572"/>
      <c r="AN56" s="572"/>
      <c r="AO56" s="572"/>
      <c r="AP56" s="572"/>
      <c r="AQ56" s="572"/>
      <c r="AR56" s="572"/>
      <c r="AS56" s="572"/>
      <c r="AT56" s="572"/>
      <c r="AU56" s="572"/>
      <c r="AV56" s="572"/>
      <c r="AW56" s="572"/>
      <c r="AX56" s="572"/>
      <c r="AY56" s="572"/>
      <c r="AZ56" s="572"/>
      <c r="BA56" s="572"/>
      <c r="BB56" s="572"/>
      <c r="BC56" s="572"/>
      <c r="BD56" s="572"/>
      <c r="BE56" s="572"/>
      <c r="BF56" s="572"/>
      <c r="BG56" s="572"/>
      <c r="BH56" s="572"/>
      <c r="BI56" s="572"/>
      <c r="BJ56" s="572"/>
      <c r="BK56" s="572"/>
      <c r="BL56" s="572"/>
      <c r="BM56" s="572"/>
      <c r="BN56" s="572"/>
      <c r="BO56" s="572"/>
      <c r="BP56" s="572"/>
      <c r="BQ56" s="572"/>
      <c r="BR56" s="572"/>
      <c r="BS56" s="572"/>
      <c r="BT56" s="572"/>
      <c r="BU56" s="572"/>
      <c r="BV56" s="572"/>
      <c r="BW56" s="572"/>
      <c r="BX56" s="572"/>
      <c r="BY56" s="572"/>
      <c r="BZ56" s="572"/>
      <c r="CA56" s="572"/>
      <c r="CB56" s="572"/>
      <c r="CC56" s="572"/>
      <c r="CD56" s="572"/>
      <c r="CE56" s="572"/>
      <c r="CF56" s="572"/>
      <c r="CG56" s="572"/>
      <c r="CH56" s="572"/>
      <c r="CI56" s="572"/>
      <c r="CJ56" s="572"/>
      <c r="CK56" s="572"/>
      <c r="CL56" s="572"/>
      <c r="CM56" s="572"/>
      <c r="CN56" s="572"/>
      <c r="CO56" s="572"/>
      <c r="CP56" s="572"/>
      <c r="CQ56" s="572"/>
      <c r="CR56" s="572"/>
      <c r="CS56" s="572"/>
      <c r="CT56" s="572"/>
      <c r="CU56" s="572"/>
      <c r="CV56" s="572"/>
      <c r="CW56" s="572"/>
      <c r="CX56" s="572"/>
      <c r="CY56" s="572"/>
      <c r="CZ56" s="572"/>
      <c r="DA56" s="572"/>
      <c r="DB56" s="572"/>
      <c r="DC56" s="572"/>
      <c r="DD56" s="572"/>
      <c r="DE56" s="572"/>
      <c r="DF56" s="572"/>
      <c r="DG56" s="572"/>
      <c r="DH56" s="572"/>
      <c r="DI56" s="572"/>
      <c r="DJ56" s="572"/>
      <c r="DK56" s="572"/>
      <c r="DL56" s="572"/>
      <c r="DM56" s="572"/>
      <c r="DN56" s="572"/>
      <c r="DO56" s="572"/>
      <c r="DP56" s="572"/>
      <c r="DQ56" s="572"/>
      <c r="DR56" s="572"/>
      <c r="DS56" s="572"/>
      <c r="DT56" s="572"/>
      <c r="DU56" s="572"/>
      <c r="DV56" s="572"/>
      <c r="DW56" s="572"/>
      <c r="DX56" s="572"/>
      <c r="DY56" s="572"/>
      <c r="DZ56" s="572"/>
      <c r="EA56" s="572"/>
      <c r="EB56" s="572"/>
      <c r="EC56" s="572"/>
      <c r="ED56" s="572"/>
      <c r="EE56" s="572"/>
      <c r="EF56" s="572"/>
      <c r="EG56" s="572"/>
      <c r="EH56" s="572"/>
      <c r="EI56" s="572"/>
      <c r="EJ56" s="572"/>
      <c r="EK56" s="572"/>
      <c r="EL56" s="572"/>
      <c r="EM56" s="572"/>
      <c r="EN56" s="572"/>
      <c r="EO56" s="572"/>
      <c r="EP56" s="572"/>
      <c r="EQ56" s="572"/>
      <c r="ER56" s="572"/>
      <c r="ES56" s="572"/>
      <c r="ET56" s="572"/>
      <c r="EU56" s="572"/>
      <c r="EV56" s="572"/>
      <c r="EW56" s="572"/>
      <c r="EX56" s="572"/>
      <c r="EY56" s="572"/>
      <c r="EZ56" s="572"/>
      <c r="FA56" s="572"/>
      <c r="FB56" s="572"/>
      <c r="FC56" s="572"/>
      <c r="FD56" s="572"/>
      <c r="FE56" s="572"/>
      <c r="FF56" s="572"/>
      <c r="FG56" s="572"/>
      <c r="FH56" s="572"/>
      <c r="FI56" s="572"/>
      <c r="FJ56" s="572"/>
      <c r="FK56" s="572"/>
      <c r="FL56" s="572"/>
      <c r="FM56" s="572"/>
      <c r="FN56" s="572"/>
      <c r="FO56" s="572"/>
      <c r="FP56" s="572"/>
      <c r="FQ56" s="362"/>
    </row>
    <row r="57" customFormat="false" ht="22.5" hidden="false" customHeight="true" outlineLevel="0" collapsed="false">
      <c r="B57" s="565"/>
      <c r="C57" s="566"/>
      <c r="D57" s="566"/>
      <c r="E57" s="567"/>
      <c r="F57" s="567"/>
      <c r="G57" s="568"/>
      <c r="H57" s="567"/>
      <c r="I57" s="569"/>
      <c r="J57" s="569"/>
      <c r="K57" s="570"/>
      <c r="L57" s="571"/>
      <c r="M57" s="572"/>
      <c r="N57" s="572"/>
      <c r="O57" s="572"/>
      <c r="P57" s="572"/>
      <c r="Q57" s="572"/>
      <c r="R57" s="572"/>
      <c r="S57" s="572"/>
      <c r="T57" s="572"/>
      <c r="U57" s="572"/>
      <c r="V57" s="572"/>
      <c r="W57" s="572"/>
      <c r="X57" s="572"/>
      <c r="Y57" s="572"/>
      <c r="Z57" s="572"/>
      <c r="AA57" s="572"/>
      <c r="AB57" s="572"/>
      <c r="AC57" s="572"/>
      <c r="AD57" s="572"/>
      <c r="AE57" s="572"/>
      <c r="AF57" s="572"/>
      <c r="AG57" s="572"/>
      <c r="AH57" s="572"/>
      <c r="AI57" s="572"/>
      <c r="AJ57" s="572"/>
      <c r="AK57" s="572"/>
      <c r="AL57" s="572"/>
      <c r="AM57" s="572"/>
      <c r="AN57" s="572"/>
      <c r="AO57" s="572"/>
      <c r="AP57" s="572"/>
      <c r="AQ57" s="572"/>
      <c r="AR57" s="572"/>
      <c r="AS57" s="572"/>
      <c r="AT57" s="572"/>
      <c r="AU57" s="572"/>
      <c r="AV57" s="572"/>
      <c r="AW57" s="572"/>
      <c r="AX57" s="572"/>
      <c r="AY57" s="572"/>
      <c r="AZ57" s="572"/>
      <c r="BA57" s="572"/>
      <c r="BB57" s="572"/>
      <c r="BC57" s="572"/>
      <c r="BD57" s="572"/>
      <c r="BE57" s="572"/>
      <c r="BF57" s="572"/>
      <c r="BG57" s="572"/>
      <c r="BH57" s="572"/>
      <c r="BI57" s="572"/>
      <c r="BJ57" s="572"/>
      <c r="BK57" s="572"/>
      <c r="BL57" s="572"/>
      <c r="BM57" s="572"/>
      <c r="BN57" s="572"/>
      <c r="BO57" s="572"/>
      <c r="BP57" s="572"/>
      <c r="BQ57" s="572"/>
      <c r="BR57" s="572"/>
      <c r="BS57" s="572"/>
      <c r="BT57" s="572"/>
      <c r="BU57" s="572"/>
      <c r="BV57" s="572"/>
      <c r="BW57" s="572"/>
      <c r="BX57" s="572"/>
      <c r="BY57" s="572"/>
      <c r="BZ57" s="572"/>
      <c r="CA57" s="572"/>
      <c r="CB57" s="572"/>
      <c r="CC57" s="572"/>
      <c r="CD57" s="572"/>
      <c r="CE57" s="572"/>
      <c r="CF57" s="572"/>
      <c r="CG57" s="572"/>
      <c r="CH57" s="572"/>
      <c r="CI57" s="572"/>
      <c r="CJ57" s="572"/>
      <c r="CK57" s="572"/>
      <c r="CL57" s="572"/>
      <c r="CM57" s="572"/>
      <c r="CN57" s="572"/>
      <c r="CO57" s="572"/>
      <c r="CP57" s="572"/>
      <c r="CQ57" s="572"/>
      <c r="CR57" s="572"/>
      <c r="CS57" s="572"/>
      <c r="CT57" s="572"/>
      <c r="CU57" s="572"/>
      <c r="CV57" s="572"/>
      <c r="CW57" s="572"/>
      <c r="CX57" s="572"/>
      <c r="CY57" s="572"/>
      <c r="CZ57" s="572"/>
      <c r="DA57" s="572"/>
      <c r="DB57" s="572"/>
      <c r="DC57" s="572"/>
      <c r="DD57" s="572"/>
      <c r="DE57" s="572"/>
      <c r="DF57" s="572"/>
      <c r="DG57" s="572"/>
      <c r="DH57" s="572"/>
      <c r="DI57" s="572"/>
      <c r="DJ57" s="572"/>
      <c r="DK57" s="572"/>
      <c r="DL57" s="572"/>
      <c r="DM57" s="572"/>
      <c r="DN57" s="572"/>
      <c r="DO57" s="572"/>
      <c r="DP57" s="572"/>
      <c r="DQ57" s="572"/>
      <c r="DR57" s="572"/>
      <c r="DS57" s="572"/>
      <c r="DT57" s="572"/>
      <c r="DU57" s="572"/>
      <c r="DV57" s="572"/>
      <c r="DW57" s="572"/>
      <c r="DX57" s="572"/>
      <c r="DY57" s="572"/>
      <c r="DZ57" s="572"/>
      <c r="EA57" s="572"/>
      <c r="EB57" s="572"/>
      <c r="EC57" s="572"/>
      <c r="ED57" s="572"/>
      <c r="EE57" s="572"/>
      <c r="EF57" s="572"/>
      <c r="EG57" s="572"/>
      <c r="EH57" s="572"/>
      <c r="EI57" s="572"/>
      <c r="EJ57" s="572"/>
      <c r="EK57" s="572"/>
      <c r="EL57" s="572"/>
      <c r="EM57" s="572"/>
      <c r="EN57" s="572"/>
      <c r="EO57" s="572"/>
      <c r="EP57" s="572"/>
      <c r="EQ57" s="572"/>
      <c r="ER57" s="572"/>
      <c r="ES57" s="572"/>
      <c r="ET57" s="572"/>
      <c r="EU57" s="572"/>
      <c r="EV57" s="572"/>
      <c r="EW57" s="572"/>
      <c r="EX57" s="572"/>
      <c r="EY57" s="572"/>
      <c r="EZ57" s="572"/>
      <c r="FA57" s="572"/>
      <c r="FB57" s="572"/>
      <c r="FC57" s="572"/>
      <c r="FD57" s="572"/>
      <c r="FE57" s="572"/>
      <c r="FF57" s="572"/>
      <c r="FG57" s="572"/>
      <c r="FH57" s="572"/>
      <c r="FI57" s="572"/>
      <c r="FJ57" s="572"/>
      <c r="FK57" s="572"/>
      <c r="FL57" s="572"/>
      <c r="FM57" s="572"/>
      <c r="FN57" s="572"/>
      <c r="FO57" s="572"/>
      <c r="FP57" s="572"/>
      <c r="FQ57" s="362"/>
    </row>
    <row r="58" customFormat="false" ht="22.5" hidden="false" customHeight="true" outlineLevel="0" collapsed="false">
      <c r="B58" s="565"/>
      <c r="C58" s="566"/>
      <c r="D58" s="566"/>
      <c r="E58" s="567"/>
      <c r="F58" s="567"/>
      <c r="G58" s="568"/>
      <c r="H58" s="567"/>
      <c r="I58" s="569"/>
      <c r="J58" s="569"/>
      <c r="K58" s="570"/>
      <c r="L58" s="571"/>
      <c r="M58" s="572"/>
      <c r="N58" s="572"/>
      <c r="O58" s="572"/>
      <c r="P58" s="572"/>
      <c r="Q58" s="572"/>
      <c r="R58" s="572"/>
      <c r="S58" s="572"/>
      <c r="T58" s="572"/>
      <c r="U58" s="572"/>
      <c r="V58" s="572"/>
      <c r="W58" s="572"/>
      <c r="X58" s="572"/>
      <c r="Y58" s="572"/>
      <c r="Z58" s="572"/>
      <c r="AA58" s="572"/>
      <c r="AB58" s="572"/>
      <c r="AC58" s="572"/>
      <c r="AD58" s="572"/>
      <c r="AE58" s="572"/>
      <c r="AF58" s="572"/>
      <c r="AG58" s="572"/>
      <c r="AH58" s="572"/>
      <c r="AI58" s="572"/>
      <c r="AJ58" s="572"/>
      <c r="AK58" s="572"/>
      <c r="AL58" s="572"/>
      <c r="AM58" s="572"/>
      <c r="AN58" s="572"/>
      <c r="AO58" s="572"/>
      <c r="AP58" s="572"/>
      <c r="AQ58" s="572"/>
      <c r="AR58" s="572"/>
      <c r="AS58" s="572"/>
      <c r="AT58" s="572"/>
      <c r="AU58" s="572"/>
      <c r="AV58" s="572"/>
      <c r="AW58" s="572"/>
      <c r="AX58" s="572"/>
      <c r="AY58" s="572"/>
      <c r="AZ58" s="572"/>
      <c r="BA58" s="572"/>
      <c r="BB58" s="572"/>
      <c r="BC58" s="572"/>
      <c r="BD58" s="572"/>
      <c r="BE58" s="572"/>
      <c r="BF58" s="572"/>
      <c r="BG58" s="572"/>
      <c r="BH58" s="572"/>
      <c r="BI58" s="572"/>
      <c r="BJ58" s="572"/>
      <c r="BK58" s="572"/>
      <c r="BL58" s="572"/>
      <c r="BM58" s="572"/>
      <c r="BN58" s="572"/>
      <c r="BO58" s="572"/>
      <c r="BP58" s="572"/>
      <c r="BQ58" s="572"/>
      <c r="BR58" s="572"/>
      <c r="BS58" s="572"/>
      <c r="BT58" s="572"/>
      <c r="BU58" s="572"/>
      <c r="BV58" s="572"/>
      <c r="BW58" s="572"/>
      <c r="BX58" s="572"/>
      <c r="BY58" s="572"/>
      <c r="BZ58" s="572"/>
      <c r="CA58" s="572"/>
      <c r="CB58" s="572"/>
      <c r="CC58" s="572"/>
      <c r="CD58" s="572"/>
      <c r="CE58" s="572"/>
      <c r="CF58" s="572"/>
      <c r="CG58" s="572"/>
      <c r="CH58" s="572"/>
      <c r="CI58" s="572"/>
      <c r="CJ58" s="572"/>
      <c r="CK58" s="572"/>
      <c r="CL58" s="572"/>
      <c r="CM58" s="572"/>
      <c r="CN58" s="572"/>
      <c r="CO58" s="572"/>
      <c r="CP58" s="572"/>
      <c r="CQ58" s="572"/>
      <c r="CR58" s="572"/>
      <c r="CS58" s="572"/>
      <c r="CT58" s="572"/>
      <c r="CU58" s="572"/>
      <c r="CV58" s="572"/>
      <c r="CW58" s="572"/>
      <c r="CX58" s="572"/>
      <c r="CY58" s="572"/>
      <c r="CZ58" s="572"/>
      <c r="DA58" s="572"/>
      <c r="DB58" s="572"/>
      <c r="DC58" s="572"/>
      <c r="DD58" s="572"/>
      <c r="DE58" s="572"/>
      <c r="DF58" s="572"/>
      <c r="DG58" s="572"/>
      <c r="DH58" s="572"/>
      <c r="DI58" s="572"/>
      <c r="DJ58" s="572"/>
      <c r="DK58" s="572"/>
      <c r="DL58" s="572"/>
      <c r="DM58" s="572"/>
      <c r="DN58" s="572"/>
      <c r="DO58" s="572"/>
      <c r="DP58" s="572"/>
      <c r="DQ58" s="572"/>
      <c r="DR58" s="572"/>
      <c r="DS58" s="572"/>
      <c r="DT58" s="572"/>
      <c r="DU58" s="572"/>
      <c r="DV58" s="572"/>
      <c r="DW58" s="572"/>
      <c r="DX58" s="572"/>
      <c r="DY58" s="572"/>
      <c r="DZ58" s="572"/>
      <c r="EA58" s="572"/>
      <c r="EB58" s="572"/>
      <c r="EC58" s="572"/>
      <c r="ED58" s="572"/>
      <c r="EE58" s="572"/>
      <c r="EF58" s="572"/>
      <c r="EG58" s="572"/>
      <c r="EH58" s="572"/>
      <c r="EI58" s="572"/>
      <c r="EJ58" s="572"/>
      <c r="EK58" s="572"/>
      <c r="EL58" s="572"/>
      <c r="EM58" s="572"/>
      <c r="EN58" s="572"/>
      <c r="EO58" s="572"/>
      <c r="EP58" s="572"/>
      <c r="EQ58" s="572"/>
      <c r="ER58" s="572"/>
      <c r="ES58" s="572"/>
      <c r="ET58" s="572"/>
      <c r="EU58" s="572"/>
      <c r="EV58" s="572"/>
      <c r="EW58" s="572"/>
      <c r="EX58" s="572"/>
      <c r="EY58" s="572"/>
      <c r="EZ58" s="572"/>
      <c r="FA58" s="572"/>
      <c r="FB58" s="572"/>
      <c r="FC58" s="572"/>
      <c r="FD58" s="572"/>
      <c r="FE58" s="572"/>
      <c r="FF58" s="572"/>
      <c r="FG58" s="572"/>
      <c r="FH58" s="572"/>
      <c r="FI58" s="572"/>
      <c r="FJ58" s="572"/>
      <c r="FK58" s="572"/>
      <c r="FL58" s="572"/>
      <c r="FM58" s="572"/>
      <c r="FN58" s="572"/>
      <c r="FO58" s="572"/>
      <c r="FP58" s="572"/>
      <c r="FQ58" s="362"/>
    </row>
    <row r="59" customFormat="false" ht="22.5" hidden="false" customHeight="true" outlineLevel="0" collapsed="false">
      <c r="B59" s="565"/>
      <c r="C59" s="566"/>
      <c r="D59" s="566"/>
      <c r="E59" s="567"/>
      <c r="F59" s="567"/>
      <c r="G59" s="568"/>
      <c r="H59" s="567"/>
      <c r="I59" s="569"/>
      <c r="J59" s="569"/>
      <c r="K59" s="570"/>
      <c r="L59" s="571"/>
      <c r="M59" s="572"/>
      <c r="N59" s="572"/>
      <c r="O59" s="572"/>
      <c r="P59" s="572"/>
      <c r="Q59" s="572"/>
      <c r="R59" s="572"/>
      <c r="S59" s="572"/>
      <c r="T59" s="572"/>
      <c r="U59" s="572"/>
      <c r="V59" s="572"/>
      <c r="W59" s="572"/>
      <c r="X59" s="572"/>
      <c r="Y59" s="572"/>
      <c r="Z59" s="572"/>
      <c r="AA59" s="572"/>
      <c r="AB59" s="572"/>
      <c r="AC59" s="572"/>
      <c r="AD59" s="572"/>
      <c r="AE59" s="572"/>
      <c r="AF59" s="572"/>
      <c r="AG59" s="572"/>
      <c r="AH59" s="572"/>
      <c r="AI59" s="572"/>
      <c r="AJ59" s="572"/>
      <c r="AK59" s="572"/>
      <c r="AL59" s="572"/>
      <c r="AM59" s="572"/>
      <c r="AN59" s="572"/>
      <c r="AO59" s="572"/>
      <c r="AP59" s="572"/>
      <c r="AQ59" s="572"/>
      <c r="AR59" s="572"/>
      <c r="AS59" s="572"/>
      <c r="AT59" s="572"/>
      <c r="AU59" s="572"/>
      <c r="AV59" s="572"/>
      <c r="AW59" s="572"/>
      <c r="AX59" s="572"/>
      <c r="AY59" s="572"/>
      <c r="AZ59" s="572"/>
      <c r="BA59" s="572"/>
      <c r="BB59" s="572"/>
      <c r="BC59" s="572"/>
      <c r="BD59" s="572"/>
      <c r="BE59" s="572"/>
      <c r="BF59" s="572"/>
      <c r="BG59" s="572"/>
      <c r="BH59" s="572"/>
      <c r="BI59" s="572"/>
      <c r="BJ59" s="572"/>
      <c r="BK59" s="572"/>
      <c r="BL59" s="572"/>
      <c r="BM59" s="572"/>
      <c r="BN59" s="572"/>
      <c r="BO59" s="572"/>
      <c r="BP59" s="572"/>
      <c r="BQ59" s="572"/>
      <c r="BR59" s="572"/>
      <c r="BS59" s="572"/>
      <c r="BT59" s="572"/>
      <c r="BU59" s="572"/>
      <c r="BV59" s="572"/>
      <c r="BW59" s="572"/>
      <c r="BX59" s="572"/>
      <c r="BY59" s="572"/>
      <c r="BZ59" s="572"/>
      <c r="CA59" s="572"/>
      <c r="CB59" s="572"/>
      <c r="CC59" s="572"/>
      <c r="CD59" s="572"/>
      <c r="CE59" s="572"/>
      <c r="CF59" s="572"/>
      <c r="CG59" s="572"/>
      <c r="CH59" s="572"/>
      <c r="CI59" s="572"/>
      <c r="CJ59" s="572"/>
      <c r="CK59" s="572"/>
      <c r="CL59" s="572"/>
      <c r="CM59" s="572"/>
      <c r="CN59" s="572"/>
      <c r="CO59" s="572"/>
      <c r="CP59" s="572"/>
      <c r="CQ59" s="572"/>
      <c r="CR59" s="572"/>
      <c r="CS59" s="572"/>
      <c r="CT59" s="572"/>
      <c r="CU59" s="572"/>
      <c r="CV59" s="572"/>
      <c r="CW59" s="572"/>
      <c r="CX59" s="572"/>
      <c r="CY59" s="572"/>
      <c r="CZ59" s="572"/>
      <c r="DA59" s="572"/>
      <c r="DB59" s="572"/>
      <c r="DC59" s="572"/>
      <c r="DD59" s="572"/>
      <c r="DE59" s="572"/>
      <c r="DF59" s="572"/>
      <c r="DG59" s="572"/>
      <c r="DH59" s="572"/>
      <c r="DI59" s="572"/>
      <c r="DJ59" s="572"/>
      <c r="DK59" s="572"/>
      <c r="DL59" s="572"/>
      <c r="DM59" s="572"/>
      <c r="DN59" s="572"/>
      <c r="DO59" s="572"/>
      <c r="DP59" s="572"/>
      <c r="DQ59" s="572"/>
      <c r="DR59" s="572"/>
      <c r="DS59" s="572"/>
      <c r="DT59" s="572"/>
      <c r="DU59" s="572"/>
      <c r="DV59" s="572"/>
      <c r="DW59" s="572"/>
      <c r="DX59" s="572"/>
      <c r="DY59" s="572"/>
      <c r="DZ59" s="572"/>
      <c r="EA59" s="572"/>
      <c r="EB59" s="572"/>
      <c r="EC59" s="572"/>
      <c r="ED59" s="572"/>
      <c r="EE59" s="572"/>
      <c r="EF59" s="572"/>
      <c r="EG59" s="572"/>
      <c r="EH59" s="572"/>
      <c r="EI59" s="572"/>
      <c r="EJ59" s="572"/>
      <c r="EK59" s="572"/>
      <c r="EL59" s="572"/>
      <c r="EM59" s="572"/>
      <c r="EN59" s="572"/>
      <c r="EO59" s="572"/>
      <c r="EP59" s="572"/>
      <c r="EQ59" s="572"/>
      <c r="ER59" s="572"/>
      <c r="ES59" s="572"/>
      <c r="ET59" s="572"/>
      <c r="EU59" s="572"/>
      <c r="EV59" s="572"/>
      <c r="EW59" s="572"/>
      <c r="EX59" s="572"/>
      <c r="EY59" s="572"/>
      <c r="EZ59" s="572"/>
      <c r="FA59" s="572"/>
      <c r="FB59" s="572"/>
      <c r="FC59" s="572"/>
      <c r="FD59" s="572"/>
      <c r="FE59" s="572"/>
      <c r="FF59" s="572"/>
      <c r="FG59" s="572"/>
      <c r="FH59" s="572"/>
      <c r="FI59" s="572"/>
      <c r="FJ59" s="572"/>
      <c r="FK59" s="572"/>
      <c r="FL59" s="572"/>
      <c r="FM59" s="572"/>
      <c r="FN59" s="572"/>
      <c r="FO59" s="572"/>
      <c r="FP59" s="572"/>
      <c r="FQ59" s="362"/>
    </row>
    <row r="60" customFormat="false" ht="22.5" hidden="false" customHeight="true" outlineLevel="0" collapsed="false">
      <c r="B60" s="565"/>
      <c r="C60" s="566"/>
      <c r="D60" s="566"/>
      <c r="E60" s="567"/>
      <c r="F60" s="567"/>
      <c r="G60" s="568"/>
      <c r="H60" s="567"/>
      <c r="I60" s="569"/>
      <c r="J60" s="569"/>
      <c r="K60" s="570"/>
      <c r="L60" s="571"/>
      <c r="M60" s="572"/>
      <c r="N60" s="572"/>
      <c r="O60" s="572"/>
      <c r="P60" s="572"/>
      <c r="Q60" s="572"/>
      <c r="R60" s="572"/>
      <c r="S60" s="572"/>
      <c r="T60" s="572"/>
      <c r="U60" s="572"/>
      <c r="V60" s="572"/>
      <c r="W60" s="572"/>
      <c r="X60" s="572"/>
      <c r="Y60" s="572"/>
      <c r="Z60" s="572"/>
      <c r="AA60" s="572"/>
      <c r="AB60" s="572"/>
      <c r="AC60" s="572"/>
      <c r="AD60" s="572"/>
      <c r="AE60" s="572"/>
      <c r="AF60" s="572"/>
      <c r="AG60" s="572"/>
      <c r="AH60" s="572"/>
      <c r="AI60" s="572"/>
      <c r="AJ60" s="572"/>
      <c r="AK60" s="572"/>
      <c r="AL60" s="572"/>
      <c r="AM60" s="572"/>
      <c r="AN60" s="572"/>
      <c r="AO60" s="572"/>
      <c r="AP60" s="572"/>
      <c r="AQ60" s="572"/>
      <c r="AR60" s="572"/>
      <c r="AS60" s="572"/>
      <c r="AT60" s="572"/>
      <c r="AU60" s="572"/>
      <c r="AV60" s="572"/>
      <c r="AW60" s="572"/>
      <c r="AX60" s="572"/>
      <c r="AY60" s="572"/>
      <c r="AZ60" s="572"/>
      <c r="BA60" s="572"/>
      <c r="BB60" s="572"/>
      <c r="BC60" s="572"/>
      <c r="BD60" s="572"/>
      <c r="BE60" s="572"/>
      <c r="BF60" s="572"/>
      <c r="BG60" s="572"/>
      <c r="BH60" s="572"/>
      <c r="BI60" s="572"/>
      <c r="BJ60" s="572"/>
      <c r="BK60" s="572"/>
      <c r="BL60" s="572"/>
      <c r="BM60" s="572"/>
      <c r="BN60" s="572"/>
      <c r="BO60" s="572"/>
      <c r="BP60" s="572"/>
      <c r="BQ60" s="572"/>
      <c r="BR60" s="572"/>
      <c r="BS60" s="572"/>
      <c r="BT60" s="572"/>
      <c r="BU60" s="572"/>
      <c r="BV60" s="572"/>
      <c r="BW60" s="572"/>
      <c r="BX60" s="572"/>
      <c r="BY60" s="572"/>
      <c r="BZ60" s="572"/>
      <c r="CA60" s="572"/>
      <c r="CB60" s="572"/>
      <c r="CC60" s="572"/>
      <c r="CD60" s="572"/>
      <c r="CE60" s="572"/>
      <c r="CF60" s="572"/>
      <c r="CG60" s="572"/>
      <c r="CH60" s="572"/>
      <c r="CI60" s="572"/>
      <c r="CJ60" s="572"/>
      <c r="CK60" s="572"/>
      <c r="CL60" s="572"/>
      <c r="CM60" s="572"/>
      <c r="CN60" s="572"/>
      <c r="CO60" s="572"/>
      <c r="CP60" s="572"/>
      <c r="CQ60" s="572"/>
      <c r="CR60" s="572"/>
      <c r="CS60" s="572"/>
      <c r="CT60" s="572"/>
      <c r="CU60" s="572"/>
      <c r="CV60" s="572"/>
      <c r="CW60" s="572"/>
      <c r="CX60" s="572"/>
      <c r="CY60" s="572"/>
      <c r="CZ60" s="572"/>
      <c r="DA60" s="572"/>
      <c r="DB60" s="572"/>
      <c r="DC60" s="572"/>
      <c r="DD60" s="572"/>
      <c r="DE60" s="572"/>
      <c r="DF60" s="572"/>
      <c r="DG60" s="572"/>
      <c r="DH60" s="572"/>
      <c r="DI60" s="572"/>
      <c r="DJ60" s="572"/>
      <c r="DK60" s="572"/>
      <c r="DL60" s="572"/>
      <c r="DM60" s="572"/>
      <c r="DN60" s="572"/>
      <c r="DO60" s="572"/>
      <c r="DP60" s="572"/>
      <c r="DQ60" s="572"/>
      <c r="DR60" s="572"/>
      <c r="DS60" s="572"/>
      <c r="DT60" s="572"/>
      <c r="DU60" s="572"/>
      <c r="DV60" s="572"/>
      <c r="DW60" s="572"/>
      <c r="DX60" s="572"/>
      <c r="DY60" s="572"/>
      <c r="DZ60" s="572"/>
      <c r="EA60" s="572"/>
      <c r="EB60" s="572"/>
      <c r="EC60" s="572"/>
      <c r="ED60" s="572"/>
      <c r="EE60" s="572"/>
      <c r="EF60" s="572"/>
      <c r="EG60" s="572"/>
      <c r="EH60" s="572"/>
      <c r="EI60" s="572"/>
      <c r="EJ60" s="572"/>
      <c r="EK60" s="572"/>
      <c r="EL60" s="572"/>
      <c r="EM60" s="572"/>
      <c r="EN60" s="572"/>
      <c r="EO60" s="572"/>
      <c r="EP60" s="572"/>
      <c r="EQ60" s="572"/>
      <c r="ER60" s="572"/>
      <c r="ES60" s="572"/>
      <c r="ET60" s="572"/>
      <c r="EU60" s="572"/>
      <c r="EV60" s="572"/>
      <c r="EW60" s="572"/>
      <c r="EX60" s="572"/>
      <c r="EY60" s="572"/>
      <c r="EZ60" s="572"/>
      <c r="FA60" s="572"/>
      <c r="FB60" s="572"/>
      <c r="FC60" s="572"/>
      <c r="FD60" s="572"/>
      <c r="FE60" s="572"/>
      <c r="FF60" s="572"/>
      <c r="FG60" s="572"/>
      <c r="FH60" s="572"/>
      <c r="FI60" s="572"/>
      <c r="FJ60" s="572"/>
      <c r="FK60" s="572"/>
      <c r="FL60" s="572"/>
      <c r="FM60" s="572"/>
      <c r="FN60" s="572"/>
      <c r="FO60" s="572"/>
      <c r="FP60" s="572"/>
      <c r="FQ60" s="362"/>
    </row>
    <row r="61" customFormat="false" ht="22.5" hidden="false" customHeight="true" outlineLevel="0" collapsed="false">
      <c r="B61" s="565"/>
      <c r="C61" s="566"/>
      <c r="D61" s="566"/>
      <c r="E61" s="567"/>
      <c r="F61" s="567"/>
      <c r="G61" s="568"/>
      <c r="H61" s="567"/>
      <c r="I61" s="569"/>
      <c r="J61" s="569"/>
      <c r="K61" s="570"/>
      <c r="L61" s="571"/>
      <c r="M61" s="572"/>
      <c r="N61" s="572"/>
      <c r="O61" s="572"/>
      <c r="P61" s="572"/>
      <c r="Q61" s="572"/>
      <c r="R61" s="572"/>
      <c r="S61" s="572"/>
      <c r="T61" s="572"/>
      <c r="U61" s="572"/>
      <c r="V61" s="572"/>
      <c r="W61" s="572"/>
      <c r="X61" s="572"/>
      <c r="Y61" s="572"/>
      <c r="Z61" s="572"/>
      <c r="AA61" s="572"/>
      <c r="AB61" s="572"/>
      <c r="AC61" s="572"/>
      <c r="AD61" s="572"/>
      <c r="AE61" s="572"/>
      <c r="AF61" s="572"/>
      <c r="AG61" s="572"/>
      <c r="AH61" s="572"/>
      <c r="AI61" s="572"/>
      <c r="AJ61" s="572"/>
      <c r="AK61" s="572"/>
      <c r="AL61" s="572"/>
      <c r="AM61" s="572"/>
      <c r="AN61" s="572"/>
      <c r="AO61" s="572"/>
      <c r="AP61" s="572"/>
      <c r="AQ61" s="572"/>
      <c r="AR61" s="572"/>
      <c r="AS61" s="572"/>
      <c r="AT61" s="572"/>
      <c r="AU61" s="572"/>
      <c r="AV61" s="572"/>
      <c r="AW61" s="572"/>
      <c r="AX61" s="572"/>
      <c r="AY61" s="572"/>
      <c r="AZ61" s="572"/>
      <c r="BA61" s="572"/>
      <c r="BB61" s="572"/>
      <c r="BC61" s="572"/>
      <c r="BD61" s="572"/>
      <c r="BE61" s="572"/>
      <c r="BF61" s="572"/>
      <c r="BG61" s="572"/>
      <c r="BH61" s="572"/>
      <c r="BI61" s="572"/>
      <c r="BJ61" s="572"/>
      <c r="BK61" s="572"/>
      <c r="BL61" s="572"/>
      <c r="BM61" s="572"/>
      <c r="BN61" s="572"/>
      <c r="BO61" s="572"/>
      <c r="BP61" s="572"/>
      <c r="BQ61" s="572"/>
      <c r="BR61" s="572"/>
      <c r="BS61" s="572"/>
      <c r="BT61" s="572"/>
      <c r="BU61" s="572"/>
      <c r="BV61" s="572"/>
      <c r="BW61" s="572"/>
      <c r="BX61" s="572"/>
      <c r="BY61" s="572"/>
      <c r="BZ61" s="572"/>
      <c r="CA61" s="572"/>
      <c r="CB61" s="572"/>
      <c r="CC61" s="572"/>
      <c r="CD61" s="572"/>
      <c r="CE61" s="572"/>
      <c r="CF61" s="572"/>
      <c r="CG61" s="572"/>
      <c r="CH61" s="572"/>
      <c r="CI61" s="572"/>
      <c r="CJ61" s="572"/>
      <c r="CK61" s="572"/>
      <c r="CL61" s="572"/>
      <c r="CM61" s="572"/>
      <c r="CN61" s="572"/>
      <c r="CO61" s="572"/>
      <c r="CP61" s="572"/>
      <c r="CQ61" s="572"/>
      <c r="CR61" s="572"/>
      <c r="CS61" s="572"/>
      <c r="CT61" s="572"/>
      <c r="CU61" s="572"/>
      <c r="CV61" s="572"/>
      <c r="CW61" s="572"/>
      <c r="CX61" s="572"/>
      <c r="CY61" s="572"/>
      <c r="CZ61" s="572"/>
      <c r="DA61" s="572"/>
      <c r="DB61" s="572"/>
      <c r="DC61" s="572"/>
      <c r="DD61" s="572"/>
      <c r="DE61" s="572"/>
      <c r="DF61" s="572"/>
      <c r="DG61" s="572"/>
      <c r="DH61" s="572"/>
      <c r="DI61" s="572"/>
      <c r="DJ61" s="572"/>
      <c r="DK61" s="572"/>
      <c r="DL61" s="572"/>
      <c r="DM61" s="572"/>
      <c r="DN61" s="572"/>
      <c r="DO61" s="572"/>
      <c r="DP61" s="572"/>
      <c r="DQ61" s="572"/>
      <c r="DR61" s="572"/>
      <c r="DS61" s="572"/>
      <c r="DT61" s="572"/>
      <c r="DU61" s="572"/>
      <c r="DV61" s="572"/>
      <c r="DW61" s="572"/>
      <c r="DX61" s="572"/>
      <c r="DY61" s="572"/>
      <c r="DZ61" s="572"/>
      <c r="EA61" s="572"/>
      <c r="EB61" s="572"/>
      <c r="EC61" s="572"/>
      <c r="ED61" s="572"/>
      <c r="EE61" s="572"/>
      <c r="EF61" s="572"/>
      <c r="EG61" s="572"/>
      <c r="EH61" s="572"/>
      <c r="EI61" s="572"/>
      <c r="EJ61" s="572"/>
      <c r="EK61" s="572"/>
      <c r="EL61" s="572"/>
      <c r="EM61" s="572"/>
      <c r="EN61" s="572"/>
      <c r="EO61" s="572"/>
      <c r="EP61" s="572"/>
      <c r="EQ61" s="572"/>
      <c r="ER61" s="572"/>
      <c r="ES61" s="572"/>
      <c r="ET61" s="572"/>
      <c r="EU61" s="572"/>
      <c r="EV61" s="572"/>
      <c r="EW61" s="572"/>
      <c r="EX61" s="572"/>
      <c r="EY61" s="572"/>
      <c r="EZ61" s="572"/>
      <c r="FA61" s="572"/>
      <c r="FB61" s="572"/>
      <c r="FC61" s="572"/>
      <c r="FD61" s="572"/>
      <c r="FE61" s="572"/>
      <c r="FF61" s="572"/>
      <c r="FG61" s="572"/>
      <c r="FH61" s="572"/>
      <c r="FI61" s="572"/>
      <c r="FJ61" s="572"/>
      <c r="FK61" s="572"/>
      <c r="FL61" s="572"/>
      <c r="FM61" s="572"/>
      <c r="FN61" s="572"/>
      <c r="FO61" s="572"/>
      <c r="FP61" s="572"/>
      <c r="FQ61" s="362"/>
    </row>
    <row r="62" customFormat="false" ht="22.5" hidden="false" customHeight="true" outlineLevel="0" collapsed="false">
      <c r="B62" s="257"/>
      <c r="C62" s="257"/>
      <c r="D62" s="257"/>
      <c r="E62" s="258" t="s">
        <v>609</v>
      </c>
      <c r="F62" s="258" t="s">
        <v>610</v>
      </c>
      <c r="G62" s="258" t="s">
        <v>611</v>
      </c>
      <c r="H62" s="258" t="s">
        <v>668</v>
      </c>
      <c r="I62" s="258" t="s">
        <v>669</v>
      </c>
      <c r="J62" s="257"/>
      <c r="K62" s="258" t="s">
        <v>708</v>
      </c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  <c r="AL62" s="257"/>
      <c r="AM62" s="257"/>
      <c r="AN62" s="257"/>
      <c r="AO62" s="257"/>
      <c r="AP62" s="257"/>
      <c r="AQ62" s="257"/>
      <c r="AR62" s="257"/>
      <c r="AS62" s="257"/>
      <c r="AT62" s="257"/>
      <c r="AU62" s="257"/>
      <c r="AV62" s="257"/>
      <c r="AW62" s="257"/>
      <c r="AX62" s="257"/>
      <c r="AY62" s="257"/>
      <c r="AZ62" s="257"/>
      <c r="BA62" s="257"/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  <c r="BR62" s="257"/>
      <c r="BS62" s="257"/>
      <c r="BT62" s="257"/>
      <c r="BU62" s="257"/>
      <c r="BV62" s="257"/>
      <c r="BW62" s="257"/>
      <c r="BX62" s="257"/>
      <c r="BY62" s="257"/>
      <c r="BZ62" s="257"/>
      <c r="CA62" s="257"/>
      <c r="CB62" s="257"/>
      <c r="CC62" s="257"/>
      <c r="CD62" s="257"/>
      <c r="CE62" s="257"/>
      <c r="CF62" s="257"/>
      <c r="CG62" s="257"/>
      <c r="CH62" s="257"/>
      <c r="CI62" s="257"/>
      <c r="CJ62" s="257"/>
      <c r="CK62" s="257"/>
      <c r="CL62" s="257"/>
      <c r="CM62" s="257"/>
      <c r="CN62" s="257"/>
      <c r="CO62" s="362"/>
      <c r="CP62" s="362"/>
      <c r="CQ62" s="362"/>
      <c r="CR62" s="362"/>
      <c r="CS62" s="362"/>
      <c r="CT62" s="362"/>
      <c r="CU62" s="362"/>
      <c r="CV62" s="362"/>
      <c r="CW62" s="362"/>
      <c r="CX62" s="362"/>
      <c r="CY62" s="362"/>
      <c r="CZ62" s="362"/>
      <c r="DA62" s="362"/>
      <c r="DB62" s="362"/>
      <c r="DC62" s="362"/>
      <c r="DD62" s="362"/>
      <c r="DE62" s="362"/>
      <c r="DF62" s="362"/>
      <c r="DG62" s="362"/>
      <c r="DH62" s="362"/>
      <c r="DI62" s="362"/>
      <c r="DJ62" s="362"/>
      <c r="DK62" s="362"/>
      <c r="DL62" s="362"/>
      <c r="DM62" s="362"/>
      <c r="DN62" s="362"/>
      <c r="DO62" s="362"/>
      <c r="DP62" s="362"/>
      <c r="DQ62" s="362"/>
      <c r="DR62" s="362"/>
      <c r="DS62" s="362"/>
      <c r="DT62" s="362"/>
      <c r="DU62" s="362"/>
      <c r="DV62" s="362"/>
      <c r="DW62" s="362"/>
      <c r="DX62" s="362"/>
      <c r="DY62" s="362"/>
      <c r="DZ62" s="362"/>
      <c r="EA62" s="362"/>
      <c r="EB62" s="362"/>
      <c r="EC62" s="362"/>
      <c r="ED62" s="362"/>
      <c r="EE62" s="362"/>
      <c r="EF62" s="362"/>
      <c r="EG62" s="362"/>
      <c r="EH62" s="362"/>
      <c r="EI62" s="362"/>
      <c r="EJ62" s="362"/>
      <c r="EK62" s="362"/>
      <c r="EL62" s="362"/>
      <c r="EM62" s="362"/>
      <c r="EN62" s="362"/>
      <c r="EO62" s="362"/>
      <c r="EP62" s="362"/>
      <c r="EQ62" s="362"/>
      <c r="ER62" s="362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362"/>
      <c r="FP62" s="362"/>
      <c r="FQ62" s="362"/>
    </row>
    <row r="63" customFormat="false" ht="22.5" hidden="false" customHeight="true" outlineLevel="0" collapsed="false">
      <c r="B63" s="257"/>
      <c r="C63" s="259" t="s">
        <v>491</v>
      </c>
      <c r="D63" s="260" t="s">
        <v>670</v>
      </c>
      <c r="E63" s="261" t="n">
        <f aca="false">SUM(E12:E18,E20:E23,E27:E32,E34:E37)</f>
        <v>138</v>
      </c>
      <c r="F63" s="261" t="n">
        <f aca="false">SUM(F12:F18,F20:F23,F27:F32,F34:F37)</f>
        <v>132</v>
      </c>
      <c r="G63" s="261" t="n">
        <f aca="false">SUM(G12:G18,G20:G23,G27:G32,G34:G37)</f>
        <v>6</v>
      </c>
      <c r="H63" s="457" t="n">
        <f aca="false">SUM(H11:H61)</f>
        <v>19</v>
      </c>
      <c r="I63" s="263" t="n">
        <f aca="false">E63/H63</f>
        <v>7.26315789473684</v>
      </c>
      <c r="J63" s="257"/>
      <c r="K63" s="573" t="n">
        <f aca="false">SUM(K12:K18,K20:K25,K27:K32,K34:K37)</f>
        <v>173</v>
      </c>
      <c r="L63" s="458" t="s">
        <v>671</v>
      </c>
      <c r="M63" s="459" t="n">
        <v>1</v>
      </c>
      <c r="N63" s="459" t="n">
        <v>2</v>
      </c>
      <c r="O63" s="459" t="n">
        <v>3</v>
      </c>
      <c r="P63" s="459" t="n">
        <v>4</v>
      </c>
      <c r="Q63" s="459" t="n">
        <v>5</v>
      </c>
      <c r="R63" s="459" t="n">
        <v>6</v>
      </c>
      <c r="S63" s="459" t="n">
        <v>7</v>
      </c>
      <c r="T63" s="459" t="n">
        <v>8</v>
      </c>
      <c r="U63" s="459" t="n">
        <v>9</v>
      </c>
      <c r="V63" s="459" t="n">
        <v>10</v>
      </c>
      <c r="W63" s="459" t="n">
        <v>11</v>
      </c>
      <c r="X63" s="459" t="n">
        <v>12</v>
      </c>
      <c r="Y63" s="459" t="n">
        <v>13</v>
      </c>
      <c r="Z63" s="459" t="n">
        <v>14</v>
      </c>
      <c r="AA63" s="459" t="n">
        <v>15</v>
      </c>
      <c r="AB63" s="459" t="n">
        <v>16</v>
      </c>
      <c r="AC63" s="459" t="n">
        <v>17</v>
      </c>
      <c r="AD63" s="459" t="n">
        <v>18</v>
      </c>
      <c r="AE63" s="459" t="n">
        <v>19</v>
      </c>
      <c r="AF63" s="459" t="n">
        <v>20</v>
      </c>
      <c r="AG63" s="459" t="n">
        <v>21</v>
      </c>
      <c r="AH63" s="459" t="n">
        <v>22</v>
      </c>
      <c r="AI63" s="459" t="n">
        <v>23</v>
      </c>
      <c r="AJ63" s="459" t="n">
        <v>24</v>
      </c>
      <c r="AK63" s="459" t="n">
        <v>25</v>
      </c>
      <c r="AL63" s="459" t="n">
        <v>26</v>
      </c>
      <c r="AM63" s="459" t="n">
        <v>27</v>
      </c>
      <c r="AN63" s="459" t="n">
        <v>28</v>
      </c>
      <c r="AO63" s="459" t="n">
        <v>29</v>
      </c>
      <c r="AP63" s="459" t="n">
        <v>30</v>
      </c>
      <c r="AQ63" s="459" t="n">
        <v>31</v>
      </c>
      <c r="AR63" s="459" t="n">
        <v>32</v>
      </c>
      <c r="AS63" s="459" t="n">
        <v>33</v>
      </c>
      <c r="AT63" s="459" t="n">
        <v>34</v>
      </c>
      <c r="AU63" s="459" t="n">
        <v>35</v>
      </c>
      <c r="AV63" s="459" t="n">
        <v>36</v>
      </c>
      <c r="AW63" s="459" t="n">
        <v>37</v>
      </c>
      <c r="AX63" s="459" t="n">
        <v>38</v>
      </c>
      <c r="AY63" s="459" t="n">
        <v>39</v>
      </c>
      <c r="AZ63" s="459" t="n">
        <v>40</v>
      </c>
      <c r="BA63" s="459" t="n">
        <v>41</v>
      </c>
      <c r="BB63" s="459" t="n">
        <v>42</v>
      </c>
      <c r="BC63" s="459" t="n">
        <v>43</v>
      </c>
      <c r="BD63" s="459" t="n">
        <v>44</v>
      </c>
      <c r="BE63" s="459" t="n">
        <v>45</v>
      </c>
      <c r="BF63" s="459" t="n">
        <v>46</v>
      </c>
      <c r="BG63" s="459" t="n">
        <v>47</v>
      </c>
      <c r="BH63" s="459" t="n">
        <v>48</v>
      </c>
      <c r="BI63" s="459" t="n">
        <v>49</v>
      </c>
      <c r="BJ63" s="459" t="n">
        <v>50</v>
      </c>
      <c r="BK63" s="459" t="n">
        <v>51</v>
      </c>
      <c r="BL63" s="459" t="n">
        <v>52</v>
      </c>
      <c r="BM63" s="459" t="n">
        <v>53</v>
      </c>
      <c r="BN63" s="459" t="n">
        <v>54</v>
      </c>
      <c r="BO63" s="459" t="n">
        <v>55</v>
      </c>
      <c r="BP63" s="459" t="n">
        <v>56</v>
      </c>
      <c r="BQ63" s="459" t="n">
        <v>57</v>
      </c>
      <c r="BR63" s="459" t="n">
        <v>58</v>
      </c>
      <c r="BS63" s="459" t="n">
        <v>59</v>
      </c>
      <c r="BT63" s="459" t="n">
        <v>60</v>
      </c>
      <c r="BU63" s="459" t="n">
        <v>61</v>
      </c>
      <c r="BV63" s="459" t="n">
        <v>62</v>
      </c>
      <c r="BW63" s="459" t="n">
        <v>63</v>
      </c>
      <c r="BX63" s="459" t="n">
        <v>64</v>
      </c>
      <c r="BY63" s="459" t="n">
        <v>65</v>
      </c>
      <c r="BZ63" s="459" t="n">
        <v>66</v>
      </c>
      <c r="CA63" s="459" t="n">
        <v>67</v>
      </c>
      <c r="CB63" s="459" t="n">
        <v>68</v>
      </c>
      <c r="CC63" s="459" t="n">
        <v>69</v>
      </c>
      <c r="CD63" s="459" t="n">
        <v>70</v>
      </c>
      <c r="CE63" s="459" t="n">
        <v>71</v>
      </c>
      <c r="CF63" s="459" t="n">
        <v>72</v>
      </c>
      <c r="CG63" s="459" t="n">
        <v>73</v>
      </c>
      <c r="CH63" s="459" t="n">
        <v>74</v>
      </c>
      <c r="CI63" s="459" t="n">
        <v>75</v>
      </c>
      <c r="CJ63" s="459" t="n">
        <v>76</v>
      </c>
      <c r="CK63" s="459" t="n">
        <v>77</v>
      </c>
      <c r="CL63" s="459" t="n">
        <v>78</v>
      </c>
      <c r="CM63" s="459" t="n">
        <v>79</v>
      </c>
      <c r="CN63" s="459" t="n">
        <v>80</v>
      </c>
      <c r="CO63" s="362"/>
      <c r="CP63" s="362"/>
      <c r="CQ63" s="362"/>
      <c r="CR63" s="362"/>
      <c r="CS63" s="362"/>
      <c r="CT63" s="362"/>
      <c r="CU63" s="362"/>
      <c r="CV63" s="362"/>
      <c r="CW63" s="362"/>
      <c r="CX63" s="362"/>
      <c r="CY63" s="362"/>
      <c r="CZ63" s="362"/>
      <c r="DA63" s="362"/>
      <c r="DB63" s="362"/>
      <c r="DC63" s="362"/>
      <c r="DD63" s="362"/>
      <c r="DE63" s="362"/>
      <c r="DF63" s="362"/>
      <c r="DG63" s="362"/>
      <c r="DH63" s="362"/>
      <c r="DI63" s="362"/>
      <c r="DJ63" s="362"/>
      <c r="DK63" s="362"/>
      <c r="DL63" s="362"/>
      <c r="DM63" s="362"/>
      <c r="DN63" s="362"/>
      <c r="DO63" s="362"/>
      <c r="DP63" s="362"/>
      <c r="DQ63" s="362"/>
      <c r="DR63" s="362"/>
      <c r="DS63" s="362"/>
      <c r="DT63" s="362"/>
      <c r="DU63" s="362"/>
      <c r="DV63" s="362"/>
      <c r="DW63" s="362"/>
      <c r="DX63" s="362"/>
      <c r="DY63" s="362"/>
      <c r="DZ63" s="362"/>
      <c r="EA63" s="362"/>
      <c r="EB63" s="362"/>
      <c r="EC63" s="362"/>
      <c r="ED63" s="362"/>
      <c r="EE63" s="362"/>
      <c r="EF63" s="362"/>
      <c r="EG63" s="362"/>
      <c r="EH63" s="362"/>
      <c r="EI63" s="362"/>
      <c r="EJ63" s="362"/>
      <c r="EK63" s="362"/>
      <c r="EL63" s="362"/>
      <c r="EM63" s="362"/>
      <c r="EN63" s="362"/>
      <c r="EO63" s="362"/>
      <c r="EP63" s="362"/>
      <c r="EQ63" s="362"/>
      <c r="ER63" s="362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362"/>
      <c r="FP63" s="362"/>
      <c r="FQ63" s="362"/>
    </row>
    <row r="64" customFormat="false" ht="22.5" hidden="false" customHeight="true" outlineLevel="0" collapsed="false">
      <c r="B64" s="257"/>
      <c r="C64" s="257"/>
      <c r="D64" s="257"/>
      <c r="E64" s="257"/>
      <c r="F64" s="257"/>
      <c r="G64" s="257"/>
      <c r="H64" s="461" t="s">
        <v>672</v>
      </c>
      <c r="I64" s="257"/>
      <c r="J64" s="257"/>
      <c r="K64" s="257"/>
      <c r="L64" s="458" t="s">
        <v>673</v>
      </c>
      <c r="M64" s="462" t="n">
        <f aca="false">E63</f>
        <v>138</v>
      </c>
      <c r="N64" s="463" t="n">
        <f aca="false">M64-I63</f>
        <v>130.736842105263</v>
      </c>
      <c r="O64" s="463" t="n">
        <f aca="false">N64-I63</f>
        <v>123.473684210526</v>
      </c>
      <c r="P64" s="463" t="n">
        <f aca="false">O64-I63</f>
        <v>116.210526315789</v>
      </c>
      <c r="Q64" s="463" t="n">
        <f aca="false">P64-I63</f>
        <v>108.947368421053</v>
      </c>
      <c r="R64" s="463" t="n">
        <f aca="false">Q64-I63</f>
        <v>101.684210526316</v>
      </c>
      <c r="S64" s="463" t="n">
        <f aca="false">R64-I63</f>
        <v>94.4210526315789</v>
      </c>
      <c r="T64" s="463" t="n">
        <f aca="false">S64-I63</f>
        <v>87.1578947368421</v>
      </c>
      <c r="U64" s="463" t="n">
        <f aca="false">T64-I63</f>
        <v>79.8947368421052</v>
      </c>
      <c r="V64" s="463" t="n">
        <f aca="false">U64-I63</f>
        <v>72.6315789473684</v>
      </c>
      <c r="W64" s="463" t="n">
        <f aca="false">V64-I63</f>
        <v>65.3684210526315</v>
      </c>
      <c r="X64" s="463" t="n">
        <f aca="false">W64-I63</f>
        <v>58.1052631578947</v>
      </c>
      <c r="Y64" s="463" t="n">
        <f aca="false">X64-I63</f>
        <v>50.8421052631578</v>
      </c>
      <c r="Z64" s="463" t="n">
        <f aca="false">Y64-I63</f>
        <v>43.578947368421</v>
      </c>
      <c r="AA64" s="463" t="n">
        <f aca="false">Z64-I63</f>
        <v>36.3157894736841</v>
      </c>
      <c r="AB64" s="463" t="n">
        <f aca="false">AA64-I63</f>
        <v>29.0526315789473</v>
      </c>
      <c r="AC64" s="463" t="n">
        <f aca="false">AB64-I63</f>
        <v>21.7894736842105</v>
      </c>
      <c r="AD64" s="463" t="n">
        <f aca="false">AC64-I63</f>
        <v>14.5263157894736</v>
      </c>
      <c r="AE64" s="463" t="n">
        <f aca="false">AD64-I63</f>
        <v>7.26315789473676</v>
      </c>
      <c r="AF64" s="463" t="n">
        <f aca="false">AE64-I63</f>
        <v>-7.8159700933611E-014</v>
      </c>
      <c r="AG64" s="463" t="n">
        <f aca="false">AF64-I63</f>
        <v>-7.26315789473692</v>
      </c>
      <c r="AH64" s="463" t="n">
        <f aca="false">AG64-I63</f>
        <v>-14.5263157894738</v>
      </c>
      <c r="AI64" s="463" t="n">
        <f aca="false">AH64-I63</f>
        <v>-21.7894736842106</v>
      </c>
      <c r="AJ64" s="463" t="n">
        <f aca="false">AI64-I63</f>
        <v>-29.0526315789474</v>
      </c>
      <c r="AK64" s="463" t="n">
        <f aca="false">AJ64-I63</f>
        <v>-36.3157894736843</v>
      </c>
      <c r="AL64" s="463" t="n">
        <f aca="false">AK64-I63</f>
        <v>-43.5789473684211</v>
      </c>
      <c r="AM64" s="463" t="n">
        <f aca="false">AL64-I63</f>
        <v>-50.842105263158</v>
      </c>
      <c r="AN64" s="463" t="n">
        <f aca="false">AM64-I63</f>
        <v>-58.1052631578948</v>
      </c>
      <c r="AO64" s="463" t="n">
        <f aca="false">AN64-I63</f>
        <v>-65.3684210526317</v>
      </c>
      <c r="AP64" s="463" t="n">
        <f aca="false">AO64-I63</f>
        <v>-72.6315789473685</v>
      </c>
      <c r="AQ64" s="463" t="n">
        <f aca="false">AP64-I63</f>
        <v>-79.8947368421054</v>
      </c>
      <c r="AR64" s="463" t="n">
        <f aca="false">AQ64-I63</f>
        <v>-87.1578947368422</v>
      </c>
      <c r="AS64" s="463" t="n">
        <f aca="false">AR64-I63</f>
        <v>-94.421052631579</v>
      </c>
      <c r="AT64" s="463" t="n">
        <f aca="false">AS64-I63</f>
        <v>-101.684210526316</v>
      </c>
      <c r="AU64" s="463" t="n">
        <f aca="false">AT64-I63</f>
        <v>-108.947368421053</v>
      </c>
      <c r="AV64" s="463" t="n">
        <f aca="false">AU64-I63</f>
        <v>-116.21052631579</v>
      </c>
      <c r="AW64" s="463" t="n">
        <f aca="false">AV64-I63</f>
        <v>-123.473684210526</v>
      </c>
      <c r="AX64" s="463" t="n">
        <f aca="false">AW64-I63</f>
        <v>-130.736842105263</v>
      </c>
      <c r="AY64" s="463" t="n">
        <f aca="false">AX64-I63</f>
        <v>-138</v>
      </c>
      <c r="AZ64" s="463" t="n">
        <f aca="false">AY64-I63</f>
        <v>-145.263157894737</v>
      </c>
      <c r="BA64" s="463" t="n">
        <f aca="false">AZ64-I63</f>
        <v>-152.526315789474</v>
      </c>
      <c r="BB64" s="463" t="n">
        <f aca="false">BA64-I63</f>
        <v>-159.789473684211</v>
      </c>
      <c r="BC64" s="463" t="n">
        <f aca="false">BB64-I63</f>
        <v>-167.052631578948</v>
      </c>
      <c r="BD64" s="463" t="n">
        <f aca="false">BC64-I63</f>
        <v>-174.315789473684</v>
      </c>
      <c r="BE64" s="463" t="n">
        <f aca="false">BD64-I63</f>
        <v>-181.578947368421</v>
      </c>
      <c r="BF64" s="463" t="n">
        <f aca="false">BE64-I63</f>
        <v>-188.842105263158</v>
      </c>
      <c r="BG64" s="463" t="n">
        <f aca="false">BF64-I63</f>
        <v>-196.105263157895</v>
      </c>
      <c r="BH64" s="463" t="n">
        <f aca="false">BG64-I63</f>
        <v>-203.368421052632</v>
      </c>
      <c r="BI64" s="463" t="n">
        <f aca="false">BH64-I63</f>
        <v>-210.631578947369</v>
      </c>
      <c r="BJ64" s="463" t="n">
        <f aca="false">BI64-I63</f>
        <v>-217.894736842106</v>
      </c>
      <c r="BK64" s="463" t="n">
        <f aca="false">BJ64-I63</f>
        <v>-225.157894736842</v>
      </c>
      <c r="BL64" s="463" t="n">
        <f aca="false">BK64-I63</f>
        <v>-232.421052631579</v>
      </c>
      <c r="BM64" s="463" t="n">
        <f aca="false">BL64-I63</f>
        <v>-239.684210526316</v>
      </c>
      <c r="BN64" s="463" t="n">
        <f aca="false">BM64-I63</f>
        <v>-246.947368421053</v>
      </c>
      <c r="BO64" s="463" t="n">
        <f aca="false">BN64-I63</f>
        <v>-254.21052631579</v>
      </c>
      <c r="BP64" s="463" t="n">
        <f aca="false">BO64-I63</f>
        <v>-261.473684210527</v>
      </c>
      <c r="BQ64" s="463" t="n">
        <f aca="false">BP64-I63</f>
        <v>-268.736842105263</v>
      </c>
      <c r="BR64" s="463" t="n">
        <f aca="false">BQ64-I63</f>
        <v>-276</v>
      </c>
      <c r="BS64" s="463" t="n">
        <f aca="false">BR64-I63</f>
        <v>-283.263157894737</v>
      </c>
      <c r="BT64" s="463" t="n">
        <f aca="false">BS64-I63</f>
        <v>-290.526315789474</v>
      </c>
      <c r="BU64" s="463" t="n">
        <f aca="false">BT64-N63</f>
        <v>-292.526315789474</v>
      </c>
      <c r="BV64" s="463" t="n">
        <f aca="false">BU64-N63</f>
        <v>-294.526315789474</v>
      </c>
      <c r="BW64" s="463" t="n">
        <f aca="false">BV64-N63</f>
        <v>-296.526315789474</v>
      </c>
      <c r="BX64" s="463" t="n">
        <f aca="false">BW64-N63</f>
        <v>-298.526315789474</v>
      </c>
      <c r="BY64" s="463" t="n">
        <f aca="false">BX64-N63</f>
        <v>-300.526315789474</v>
      </c>
      <c r="BZ64" s="463" t="n">
        <f aca="false">BY64-S63</f>
        <v>-307.526315789474</v>
      </c>
      <c r="CA64" s="463" t="n">
        <f aca="false">BZ64-S63</f>
        <v>-314.526315789474</v>
      </c>
      <c r="CB64" s="463" t="n">
        <f aca="false">CA64-S63</f>
        <v>-321.526315789474</v>
      </c>
      <c r="CC64" s="463" t="n">
        <f aca="false">CB64-S63</f>
        <v>-328.526315789474</v>
      </c>
      <c r="CD64" s="463" t="n">
        <f aca="false">CC64-S63</f>
        <v>-335.526315789474</v>
      </c>
      <c r="CE64" s="463" t="n">
        <f aca="false">CD64-X63</f>
        <v>-347.526315789474</v>
      </c>
      <c r="CF64" s="463" t="n">
        <f aca="false">CE64-X63</f>
        <v>-359.526315789474</v>
      </c>
      <c r="CG64" s="463" t="n">
        <f aca="false">CF64-X63</f>
        <v>-371.526315789474</v>
      </c>
      <c r="CH64" s="463" t="n">
        <f aca="false">CG64-X63</f>
        <v>-383.526315789474</v>
      </c>
      <c r="CI64" s="463" t="n">
        <f aca="false">CH64-X63</f>
        <v>-395.526315789474</v>
      </c>
      <c r="CJ64" s="463" t="n">
        <f aca="false">CI64-AC63</f>
        <v>-412.526315789474</v>
      </c>
      <c r="CK64" s="463" t="n">
        <f aca="false">CJ64-AC63</f>
        <v>-429.526315789474</v>
      </c>
      <c r="CL64" s="463" t="n">
        <f aca="false">CK64-AC63</f>
        <v>-446.526315789474</v>
      </c>
      <c r="CM64" s="463" t="n">
        <f aca="false">CL64-AC63</f>
        <v>-463.526315789474</v>
      </c>
      <c r="CN64" s="463" t="n">
        <f aca="false">CM64-AC63</f>
        <v>-480.526315789474</v>
      </c>
      <c r="CO64" s="362"/>
      <c r="CP64" s="362"/>
      <c r="CQ64" s="362"/>
      <c r="CR64" s="362"/>
      <c r="CS64" s="362"/>
      <c r="CT64" s="362"/>
      <c r="CU64" s="362"/>
      <c r="CV64" s="362"/>
      <c r="CW64" s="362"/>
      <c r="CX64" s="362"/>
      <c r="CY64" s="362"/>
      <c r="CZ64" s="362"/>
      <c r="DA64" s="362"/>
      <c r="DB64" s="362"/>
      <c r="DC64" s="362"/>
      <c r="DD64" s="362"/>
      <c r="DE64" s="362"/>
      <c r="DF64" s="362"/>
      <c r="DG64" s="362"/>
      <c r="DH64" s="362"/>
      <c r="DI64" s="362"/>
      <c r="DJ64" s="362"/>
      <c r="DK64" s="362"/>
      <c r="DL64" s="362"/>
      <c r="DM64" s="362"/>
      <c r="DN64" s="362"/>
      <c r="DO64" s="362"/>
      <c r="DP64" s="362"/>
      <c r="DQ64" s="362"/>
      <c r="DR64" s="362"/>
      <c r="DS64" s="362"/>
      <c r="DT64" s="362"/>
      <c r="DU64" s="362"/>
      <c r="DV64" s="362"/>
      <c r="DW64" s="362"/>
      <c r="DX64" s="362"/>
      <c r="DY64" s="362"/>
      <c r="DZ64" s="362"/>
      <c r="EA64" s="362"/>
      <c r="EB64" s="362"/>
      <c r="EC64" s="362"/>
      <c r="ED64" s="362"/>
      <c r="EE64" s="362"/>
      <c r="EF64" s="362"/>
      <c r="EG64" s="362"/>
      <c r="EH64" s="362"/>
      <c r="EI64" s="362"/>
      <c r="EJ64" s="362"/>
      <c r="EK64" s="362"/>
      <c r="EL64" s="362"/>
      <c r="EM64" s="362"/>
      <c r="EN64" s="362"/>
      <c r="EO64" s="362"/>
      <c r="EP64" s="362"/>
      <c r="EQ64" s="362"/>
      <c r="ER64" s="362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362"/>
      <c r="FP64" s="362"/>
      <c r="FQ64" s="362"/>
    </row>
    <row r="65" customFormat="false" ht="22.5" hidden="false" customHeight="true" outlineLevel="0" collapsed="false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458" t="s">
        <v>609</v>
      </c>
      <c r="M65" s="462" t="n">
        <f aca="false">E63</f>
        <v>138</v>
      </c>
      <c r="N65" s="462" t="n">
        <f aca="false">M67</f>
        <v>138</v>
      </c>
      <c r="O65" s="462" t="n">
        <f aca="false">N67</f>
        <v>138</v>
      </c>
      <c r="P65" s="462" t="n">
        <f aca="false">O67</f>
        <v>138</v>
      </c>
      <c r="Q65" s="462" t="n">
        <f aca="false">P67</f>
        <v>138</v>
      </c>
      <c r="R65" s="462" t="n">
        <f aca="false">Q67</f>
        <v>138</v>
      </c>
      <c r="S65" s="462" t="n">
        <f aca="false">R67</f>
        <v>138</v>
      </c>
      <c r="T65" s="462" t="n">
        <f aca="false">S67</f>
        <v>138</v>
      </c>
      <c r="U65" s="462" t="n">
        <f aca="false">T67</f>
        <v>138</v>
      </c>
      <c r="V65" s="462" t="n">
        <f aca="false">U67</f>
        <v>138</v>
      </c>
      <c r="W65" s="462" t="n">
        <f aca="false">V67</f>
        <v>138</v>
      </c>
      <c r="X65" s="462" t="n">
        <f aca="false">W67</f>
        <v>138</v>
      </c>
      <c r="Y65" s="462" t="n">
        <f aca="false">X67</f>
        <v>138</v>
      </c>
      <c r="Z65" s="462" t="n">
        <f aca="false">Y67</f>
        <v>138</v>
      </c>
      <c r="AA65" s="462" t="n">
        <f aca="false">Z67</f>
        <v>138</v>
      </c>
      <c r="AB65" s="462" t="n">
        <f aca="false">AA67</f>
        <v>138</v>
      </c>
      <c r="AC65" s="462" t="n">
        <f aca="false">AB67</f>
        <v>138</v>
      </c>
      <c r="AD65" s="462" t="n">
        <f aca="false">AC67</f>
        <v>138</v>
      </c>
      <c r="AE65" s="462" t="n">
        <f aca="false">AD67</f>
        <v>138</v>
      </c>
      <c r="AF65" s="462" t="n">
        <f aca="false">AE67</f>
        <v>138</v>
      </c>
      <c r="AG65" s="462" t="n">
        <f aca="false">AF67</f>
        <v>138</v>
      </c>
      <c r="AH65" s="462" t="n">
        <f aca="false">AG67</f>
        <v>138</v>
      </c>
      <c r="AI65" s="462" t="n">
        <f aca="false">AH67</f>
        <v>138</v>
      </c>
      <c r="AJ65" s="462" t="n">
        <f aca="false">AI67</f>
        <v>138</v>
      </c>
      <c r="AK65" s="462" t="n">
        <f aca="false">AJ67</f>
        <v>138</v>
      </c>
      <c r="AL65" s="462" t="n">
        <f aca="false">AK67</f>
        <v>138</v>
      </c>
      <c r="AM65" s="462" t="n">
        <f aca="false">AL67</f>
        <v>138</v>
      </c>
      <c r="AN65" s="462" t="n">
        <f aca="false">AM67</f>
        <v>138</v>
      </c>
      <c r="AO65" s="462" t="n">
        <f aca="false">AN67</f>
        <v>138</v>
      </c>
      <c r="AP65" s="462" t="n">
        <f aca="false">AO67</f>
        <v>138</v>
      </c>
      <c r="AQ65" s="462" t="n">
        <f aca="false">AP67</f>
        <v>138</v>
      </c>
      <c r="AR65" s="462" t="n">
        <f aca="false">AQ67</f>
        <v>138</v>
      </c>
      <c r="AS65" s="462" t="n">
        <f aca="false">AR67</f>
        <v>138</v>
      </c>
      <c r="AT65" s="462" t="n">
        <f aca="false">AS67</f>
        <v>138</v>
      </c>
      <c r="AU65" s="462" t="n">
        <f aca="false">AT67</f>
        <v>138</v>
      </c>
      <c r="AV65" s="462" t="n">
        <f aca="false">AU67</f>
        <v>138</v>
      </c>
      <c r="AW65" s="462" t="n">
        <f aca="false">AV67</f>
        <v>138</v>
      </c>
      <c r="AX65" s="462" t="n">
        <f aca="false">AW67</f>
        <v>138</v>
      </c>
      <c r="AY65" s="462" t="n">
        <f aca="false">AX67</f>
        <v>138</v>
      </c>
      <c r="AZ65" s="462" t="n">
        <f aca="false">AY67</f>
        <v>138</v>
      </c>
      <c r="BA65" s="462" t="n">
        <f aca="false">AZ67</f>
        <v>138</v>
      </c>
      <c r="BB65" s="462" t="n">
        <f aca="false">BA67</f>
        <v>138</v>
      </c>
      <c r="BC65" s="462" t="n">
        <f aca="false">BB67</f>
        <v>138</v>
      </c>
      <c r="BD65" s="462" t="n">
        <f aca="false">BC67</f>
        <v>138</v>
      </c>
      <c r="BE65" s="462" t="n">
        <f aca="false">BD67</f>
        <v>138</v>
      </c>
      <c r="BF65" s="462" t="n">
        <f aca="false">BE67</f>
        <v>138</v>
      </c>
      <c r="BG65" s="462" t="n">
        <f aca="false">BF67</f>
        <v>138</v>
      </c>
      <c r="BH65" s="462" t="n">
        <f aca="false">BG67</f>
        <v>138</v>
      </c>
      <c r="BI65" s="462" t="n">
        <f aca="false">BH67</f>
        <v>138</v>
      </c>
      <c r="BJ65" s="462" t="n">
        <f aca="false">BI67</f>
        <v>138</v>
      </c>
      <c r="BK65" s="462" t="n">
        <f aca="false">BJ67</f>
        <v>138</v>
      </c>
      <c r="BL65" s="462" t="n">
        <f aca="false">BK67</f>
        <v>138</v>
      </c>
      <c r="BM65" s="462" t="n">
        <f aca="false">BL67</f>
        <v>138</v>
      </c>
      <c r="BN65" s="462" t="n">
        <f aca="false">BM67</f>
        <v>138</v>
      </c>
      <c r="BO65" s="462" t="n">
        <f aca="false">BN67</f>
        <v>138</v>
      </c>
      <c r="BP65" s="462" t="n">
        <f aca="false">BO67</f>
        <v>138</v>
      </c>
      <c r="BQ65" s="462" t="n">
        <f aca="false">BP67</f>
        <v>138</v>
      </c>
      <c r="BR65" s="462" t="n">
        <f aca="false">BQ67</f>
        <v>138</v>
      </c>
      <c r="BS65" s="462" t="n">
        <f aca="false">BR67</f>
        <v>138</v>
      </c>
      <c r="BT65" s="462" t="n">
        <f aca="false">BS67</f>
        <v>138</v>
      </c>
      <c r="BU65" s="462" t="n">
        <f aca="false">BT67</f>
        <v>138</v>
      </c>
      <c r="BV65" s="462" t="n">
        <f aca="false">BU67</f>
        <v>138</v>
      </c>
      <c r="BW65" s="462" t="n">
        <f aca="false">BV67</f>
        <v>138</v>
      </c>
      <c r="BX65" s="462" t="n">
        <f aca="false">BW67</f>
        <v>138</v>
      </c>
      <c r="BY65" s="462" t="n">
        <f aca="false">BX67</f>
        <v>138</v>
      </c>
      <c r="BZ65" s="462" t="n">
        <f aca="false">BY67</f>
        <v>138</v>
      </c>
      <c r="CA65" s="462" t="n">
        <f aca="false">BZ67</f>
        <v>138</v>
      </c>
      <c r="CB65" s="462" t="n">
        <f aca="false">CA67</f>
        <v>138</v>
      </c>
      <c r="CC65" s="462" t="n">
        <f aca="false">CB67</f>
        <v>138</v>
      </c>
      <c r="CD65" s="462" t="n">
        <f aca="false">CC67</f>
        <v>138</v>
      </c>
      <c r="CE65" s="462" t="n">
        <f aca="false">CD67</f>
        <v>138</v>
      </c>
      <c r="CF65" s="462" t="n">
        <f aca="false">CE67</f>
        <v>138</v>
      </c>
      <c r="CG65" s="462" t="n">
        <f aca="false">CF67</f>
        <v>138</v>
      </c>
      <c r="CH65" s="462" t="n">
        <f aca="false">CG67</f>
        <v>138</v>
      </c>
      <c r="CI65" s="462" t="n">
        <f aca="false">CH67</f>
        <v>138</v>
      </c>
      <c r="CJ65" s="462" t="n">
        <f aca="false">CI67</f>
        <v>138</v>
      </c>
      <c r="CK65" s="462" t="n">
        <f aca="false">CJ67</f>
        <v>138</v>
      </c>
      <c r="CL65" s="462" t="n">
        <f aca="false">CK67</f>
        <v>138</v>
      </c>
      <c r="CM65" s="462" t="n">
        <f aca="false">CL67</f>
        <v>138</v>
      </c>
      <c r="CN65" s="462" t="n">
        <f aca="false">CM67</f>
        <v>138</v>
      </c>
      <c r="CO65" s="362"/>
      <c r="CP65" s="362"/>
      <c r="CQ65" s="362"/>
      <c r="CR65" s="362"/>
      <c r="CS65" s="362"/>
      <c r="CT65" s="362"/>
      <c r="CU65" s="362"/>
      <c r="CV65" s="362"/>
      <c r="CW65" s="362"/>
      <c r="CX65" s="362"/>
      <c r="CY65" s="362"/>
      <c r="CZ65" s="362"/>
      <c r="DA65" s="362"/>
      <c r="DB65" s="362"/>
      <c r="DC65" s="362"/>
      <c r="DD65" s="362"/>
      <c r="DE65" s="362"/>
      <c r="DF65" s="362"/>
      <c r="DG65" s="362"/>
      <c r="DH65" s="362"/>
      <c r="DI65" s="362"/>
      <c r="DJ65" s="362"/>
      <c r="DK65" s="362"/>
      <c r="DL65" s="362"/>
      <c r="DM65" s="362"/>
      <c r="DN65" s="362"/>
      <c r="DO65" s="362"/>
      <c r="DP65" s="362"/>
      <c r="DQ65" s="362"/>
      <c r="DR65" s="362"/>
      <c r="DS65" s="362"/>
      <c r="DT65" s="362"/>
      <c r="DU65" s="362"/>
      <c r="DV65" s="362"/>
      <c r="DW65" s="362"/>
      <c r="DX65" s="362"/>
      <c r="DY65" s="362"/>
      <c r="DZ65" s="362"/>
      <c r="EA65" s="362"/>
      <c r="EB65" s="362"/>
      <c r="EC65" s="362"/>
      <c r="ED65" s="362"/>
      <c r="EE65" s="362"/>
      <c r="EF65" s="362"/>
      <c r="EG65" s="362"/>
      <c r="EH65" s="362"/>
      <c r="EI65" s="362"/>
      <c r="EJ65" s="362"/>
      <c r="EK65" s="362"/>
      <c r="EL65" s="362"/>
      <c r="EM65" s="362"/>
      <c r="EN65" s="362"/>
      <c r="EO65" s="362"/>
      <c r="EP65" s="362"/>
      <c r="EQ65" s="362"/>
      <c r="ER65" s="362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362"/>
      <c r="FP65" s="362"/>
      <c r="FQ65" s="362"/>
    </row>
    <row r="66" customFormat="false" ht="22.5" hidden="false" customHeight="true" outlineLevel="0" collapsed="false">
      <c r="B66" s="257"/>
      <c r="C66" s="257"/>
      <c r="D66" s="257"/>
      <c r="E66" s="257"/>
      <c r="F66" s="257"/>
      <c r="G66" s="257"/>
      <c r="H66" s="257"/>
      <c r="I66" s="257"/>
      <c r="J66" s="257"/>
      <c r="K66" s="466" t="s">
        <v>675</v>
      </c>
      <c r="L66" s="458" t="s">
        <v>676</v>
      </c>
      <c r="M66" s="467"/>
      <c r="N66" s="467"/>
      <c r="O66" s="467"/>
      <c r="P66" s="467"/>
      <c r="Q66" s="467"/>
      <c r="R66" s="467"/>
      <c r="S66" s="467"/>
      <c r="T66" s="467"/>
      <c r="U66" s="467"/>
      <c r="V66" s="467"/>
      <c r="W66" s="467"/>
      <c r="X66" s="467"/>
      <c r="Y66" s="467"/>
      <c r="Z66" s="467"/>
      <c r="AA66" s="467"/>
      <c r="AB66" s="467"/>
      <c r="AC66" s="467"/>
      <c r="AD66" s="467"/>
      <c r="AE66" s="467"/>
      <c r="AF66" s="467"/>
      <c r="AG66" s="467"/>
      <c r="AH66" s="467"/>
      <c r="AI66" s="467"/>
      <c r="AJ66" s="467"/>
      <c r="AK66" s="467"/>
      <c r="AL66" s="467"/>
      <c r="AM66" s="467"/>
      <c r="AN66" s="467"/>
      <c r="AO66" s="467"/>
      <c r="AP66" s="467"/>
      <c r="AQ66" s="467"/>
      <c r="AR66" s="467"/>
      <c r="AS66" s="467"/>
      <c r="AT66" s="467"/>
      <c r="AU66" s="467"/>
      <c r="AV66" s="467"/>
      <c r="AW66" s="467"/>
      <c r="AX66" s="467"/>
      <c r="AY66" s="467"/>
      <c r="AZ66" s="467"/>
      <c r="BA66" s="467"/>
      <c r="BB66" s="467"/>
      <c r="BC66" s="467"/>
      <c r="BD66" s="467"/>
      <c r="BE66" s="467"/>
      <c r="BF66" s="467"/>
      <c r="BG66" s="467"/>
      <c r="BH66" s="467"/>
      <c r="BI66" s="467"/>
      <c r="BJ66" s="467"/>
      <c r="BK66" s="467"/>
      <c r="BL66" s="467"/>
      <c r="BM66" s="467"/>
      <c r="BN66" s="467"/>
      <c r="BO66" s="467"/>
      <c r="BP66" s="467"/>
      <c r="BQ66" s="467"/>
      <c r="BR66" s="467"/>
      <c r="BS66" s="467"/>
      <c r="BT66" s="467"/>
      <c r="BU66" s="467"/>
      <c r="BV66" s="467"/>
      <c r="BW66" s="467"/>
      <c r="BX66" s="467"/>
      <c r="BY66" s="467"/>
      <c r="BZ66" s="467"/>
      <c r="CA66" s="467"/>
      <c r="CB66" s="467"/>
      <c r="CC66" s="467"/>
      <c r="CD66" s="467"/>
      <c r="CE66" s="467"/>
      <c r="CF66" s="467"/>
      <c r="CG66" s="467"/>
      <c r="CH66" s="467"/>
      <c r="CI66" s="467"/>
      <c r="CJ66" s="467"/>
      <c r="CK66" s="467"/>
      <c r="CL66" s="467"/>
      <c r="CM66" s="467"/>
      <c r="CN66" s="467"/>
      <c r="CO66" s="362"/>
      <c r="CP66" s="362"/>
      <c r="CQ66" s="362"/>
      <c r="CR66" s="362"/>
      <c r="CS66" s="362"/>
      <c r="CT66" s="362"/>
      <c r="CU66" s="362"/>
      <c r="CV66" s="362"/>
      <c r="CW66" s="362"/>
      <c r="CX66" s="362"/>
      <c r="CY66" s="362"/>
      <c r="CZ66" s="362"/>
      <c r="DA66" s="362"/>
      <c r="DB66" s="362"/>
      <c r="DC66" s="362"/>
      <c r="DD66" s="362"/>
      <c r="DE66" s="362"/>
      <c r="DF66" s="362"/>
      <c r="DG66" s="362"/>
      <c r="DH66" s="362"/>
      <c r="DI66" s="362"/>
      <c r="DJ66" s="362"/>
      <c r="DK66" s="362"/>
      <c r="DL66" s="362"/>
      <c r="DM66" s="362"/>
      <c r="DN66" s="362"/>
      <c r="DO66" s="362"/>
      <c r="DP66" s="362"/>
      <c r="DQ66" s="362"/>
      <c r="DR66" s="362"/>
      <c r="DS66" s="362"/>
      <c r="DT66" s="362"/>
      <c r="DU66" s="362"/>
      <c r="DV66" s="362"/>
      <c r="DW66" s="362"/>
      <c r="DX66" s="362"/>
      <c r="DY66" s="362"/>
      <c r="DZ66" s="362"/>
      <c r="EA66" s="362"/>
      <c r="EB66" s="362"/>
      <c r="EC66" s="362"/>
      <c r="ED66" s="362"/>
      <c r="EE66" s="362"/>
      <c r="EF66" s="362"/>
      <c r="EG66" s="362"/>
      <c r="EH66" s="362"/>
      <c r="EI66" s="362"/>
      <c r="EJ66" s="362"/>
      <c r="EK66" s="362"/>
      <c r="EL66" s="362"/>
      <c r="EM66" s="362"/>
      <c r="EN66" s="362"/>
      <c r="EO66" s="362"/>
      <c r="EP66" s="362"/>
      <c r="EQ66" s="362"/>
      <c r="ER66" s="362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362"/>
      <c r="FP66" s="362"/>
      <c r="FQ66" s="362"/>
    </row>
    <row r="67" customFormat="false" ht="22.5" hidden="false" customHeight="true" outlineLevel="0" collapsed="false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458" t="s">
        <v>677</v>
      </c>
      <c r="M67" s="462" t="n">
        <f aca="false">M65-M66</f>
        <v>138</v>
      </c>
      <c r="N67" s="462" t="n">
        <f aca="false">N65-N66</f>
        <v>138</v>
      </c>
      <c r="O67" s="462" t="n">
        <f aca="false">O65-O66</f>
        <v>138</v>
      </c>
      <c r="P67" s="462" t="n">
        <f aca="false">P65-P66</f>
        <v>138</v>
      </c>
      <c r="Q67" s="462" t="n">
        <f aca="false">Q65-Q66</f>
        <v>138</v>
      </c>
      <c r="R67" s="462" t="n">
        <f aca="false">R65-R66</f>
        <v>138</v>
      </c>
      <c r="S67" s="462" t="n">
        <f aca="false">S65-S66</f>
        <v>138</v>
      </c>
      <c r="T67" s="462" t="n">
        <f aca="false">T65-T66</f>
        <v>138</v>
      </c>
      <c r="U67" s="462" t="n">
        <f aca="false">U65-U66</f>
        <v>138</v>
      </c>
      <c r="V67" s="462" t="n">
        <f aca="false">V65-V66</f>
        <v>138</v>
      </c>
      <c r="W67" s="462" t="n">
        <f aca="false">W65-W66</f>
        <v>138</v>
      </c>
      <c r="X67" s="462" t="n">
        <f aca="false">X65-X66</f>
        <v>138</v>
      </c>
      <c r="Y67" s="462" t="n">
        <f aca="false">Y65-Y66</f>
        <v>138</v>
      </c>
      <c r="Z67" s="462" t="n">
        <f aca="false">Z65-Z66</f>
        <v>138</v>
      </c>
      <c r="AA67" s="462" t="n">
        <f aca="false">AA65-AA66</f>
        <v>138</v>
      </c>
      <c r="AB67" s="462" t="n">
        <f aca="false">AB65-AB66</f>
        <v>138</v>
      </c>
      <c r="AC67" s="462" t="n">
        <f aca="false">AC65-AC66</f>
        <v>138</v>
      </c>
      <c r="AD67" s="462" t="n">
        <f aca="false">AD65-AD66</f>
        <v>138</v>
      </c>
      <c r="AE67" s="462" t="n">
        <f aca="false">AE65-AE66</f>
        <v>138</v>
      </c>
      <c r="AF67" s="462" t="n">
        <f aca="false">AF65-AF66</f>
        <v>138</v>
      </c>
      <c r="AG67" s="462" t="n">
        <f aca="false">AG65-AG66</f>
        <v>138</v>
      </c>
      <c r="AH67" s="462" t="n">
        <f aca="false">AH65-AH66</f>
        <v>138</v>
      </c>
      <c r="AI67" s="462" t="n">
        <f aca="false">AI65-AI66</f>
        <v>138</v>
      </c>
      <c r="AJ67" s="462" t="n">
        <f aca="false">AJ65-AJ66</f>
        <v>138</v>
      </c>
      <c r="AK67" s="462" t="n">
        <f aca="false">AK65-AK66</f>
        <v>138</v>
      </c>
      <c r="AL67" s="462" t="n">
        <f aca="false">AL65-AL66</f>
        <v>138</v>
      </c>
      <c r="AM67" s="462" t="n">
        <f aca="false">AM65-AM66</f>
        <v>138</v>
      </c>
      <c r="AN67" s="462" t="n">
        <f aca="false">AN65-AN66</f>
        <v>138</v>
      </c>
      <c r="AO67" s="462" t="n">
        <f aca="false">AO65-AO66</f>
        <v>138</v>
      </c>
      <c r="AP67" s="462" t="n">
        <f aca="false">AP65-AP66</f>
        <v>138</v>
      </c>
      <c r="AQ67" s="462" t="n">
        <f aca="false">AQ65-AQ66</f>
        <v>138</v>
      </c>
      <c r="AR67" s="462" t="n">
        <f aca="false">AR65-AR66</f>
        <v>138</v>
      </c>
      <c r="AS67" s="462" t="n">
        <f aca="false">AS65-AS66</f>
        <v>138</v>
      </c>
      <c r="AT67" s="462" t="n">
        <f aca="false">AT65-AT66</f>
        <v>138</v>
      </c>
      <c r="AU67" s="462" t="n">
        <f aca="false">AU65-AU66</f>
        <v>138</v>
      </c>
      <c r="AV67" s="462" t="n">
        <f aca="false">AV65-AV66</f>
        <v>138</v>
      </c>
      <c r="AW67" s="462" t="n">
        <f aca="false">AW65-AW66</f>
        <v>138</v>
      </c>
      <c r="AX67" s="462" t="n">
        <f aca="false">AX65-AX66</f>
        <v>138</v>
      </c>
      <c r="AY67" s="462" t="n">
        <f aca="false">AY65-AY66</f>
        <v>138</v>
      </c>
      <c r="AZ67" s="462" t="n">
        <f aca="false">AZ65-AZ66</f>
        <v>138</v>
      </c>
      <c r="BA67" s="462" t="n">
        <f aca="false">BA65-BA66</f>
        <v>138</v>
      </c>
      <c r="BB67" s="462" t="n">
        <f aca="false">BB65-BB66</f>
        <v>138</v>
      </c>
      <c r="BC67" s="462" t="n">
        <f aca="false">BC65-BC66</f>
        <v>138</v>
      </c>
      <c r="BD67" s="462" t="n">
        <f aca="false">BD65-BD66</f>
        <v>138</v>
      </c>
      <c r="BE67" s="462" t="n">
        <f aca="false">BE65-BE66</f>
        <v>138</v>
      </c>
      <c r="BF67" s="462" t="n">
        <f aca="false">BF65-BF66</f>
        <v>138</v>
      </c>
      <c r="BG67" s="462" t="n">
        <f aca="false">BG65-BG66</f>
        <v>138</v>
      </c>
      <c r="BH67" s="462" t="n">
        <f aca="false">BH65-BH66</f>
        <v>138</v>
      </c>
      <c r="BI67" s="462" t="n">
        <f aca="false">BI65-BI66</f>
        <v>138</v>
      </c>
      <c r="BJ67" s="462" t="n">
        <f aca="false">BJ65-BJ66</f>
        <v>138</v>
      </c>
      <c r="BK67" s="462" t="n">
        <f aca="false">BK65-BK66</f>
        <v>138</v>
      </c>
      <c r="BL67" s="462" t="n">
        <f aca="false">BL65-BL66</f>
        <v>138</v>
      </c>
      <c r="BM67" s="462" t="n">
        <f aca="false">BM65-BM66</f>
        <v>138</v>
      </c>
      <c r="BN67" s="462" t="n">
        <f aca="false">BN65-BN66</f>
        <v>138</v>
      </c>
      <c r="BO67" s="462" t="n">
        <f aca="false">BO65-BO66</f>
        <v>138</v>
      </c>
      <c r="BP67" s="462" t="n">
        <f aca="false">BP65-BP66</f>
        <v>138</v>
      </c>
      <c r="BQ67" s="462" t="n">
        <f aca="false">BQ65-BQ66</f>
        <v>138</v>
      </c>
      <c r="BR67" s="462" t="n">
        <f aca="false">BR65-BR66</f>
        <v>138</v>
      </c>
      <c r="BS67" s="462" t="n">
        <f aca="false">BS65-BS66</f>
        <v>138</v>
      </c>
      <c r="BT67" s="462" t="n">
        <f aca="false">BT65-BT66</f>
        <v>138</v>
      </c>
      <c r="BU67" s="462" t="n">
        <f aca="false">BU65-BU66</f>
        <v>138</v>
      </c>
      <c r="BV67" s="462" t="n">
        <f aca="false">BV65-BV66</f>
        <v>138</v>
      </c>
      <c r="BW67" s="462" t="n">
        <f aca="false">BW65-BW66</f>
        <v>138</v>
      </c>
      <c r="BX67" s="462" t="n">
        <f aca="false">BX65-BX66</f>
        <v>138</v>
      </c>
      <c r="BY67" s="462" t="n">
        <f aca="false">BY65-BY66</f>
        <v>138</v>
      </c>
      <c r="BZ67" s="462" t="n">
        <f aca="false">BZ65-BZ66</f>
        <v>138</v>
      </c>
      <c r="CA67" s="462" t="n">
        <f aca="false">CA65-CA66</f>
        <v>138</v>
      </c>
      <c r="CB67" s="462" t="n">
        <f aca="false">CB65-CB66</f>
        <v>138</v>
      </c>
      <c r="CC67" s="462" t="n">
        <f aca="false">CC65-CC66</f>
        <v>138</v>
      </c>
      <c r="CD67" s="462" t="n">
        <f aca="false">CD65-CD66</f>
        <v>138</v>
      </c>
      <c r="CE67" s="462" t="n">
        <f aca="false">CE65-CE66</f>
        <v>138</v>
      </c>
      <c r="CF67" s="462" t="n">
        <f aca="false">CF65-CF66</f>
        <v>138</v>
      </c>
      <c r="CG67" s="462" t="n">
        <f aca="false">CG65-CG66</f>
        <v>138</v>
      </c>
      <c r="CH67" s="462" t="n">
        <f aca="false">CH65-CH66</f>
        <v>138</v>
      </c>
      <c r="CI67" s="462" t="n">
        <f aca="false">CI65-CI66</f>
        <v>138</v>
      </c>
      <c r="CJ67" s="462" t="n">
        <f aca="false">CJ65-CJ66</f>
        <v>138</v>
      </c>
      <c r="CK67" s="462" t="n">
        <f aca="false">CK65-CK66</f>
        <v>138</v>
      </c>
      <c r="CL67" s="462" t="n">
        <f aca="false">CL65-CL66</f>
        <v>138</v>
      </c>
      <c r="CM67" s="462" t="n">
        <f aca="false">CM65-CM66</f>
        <v>138</v>
      </c>
      <c r="CN67" s="462" t="n">
        <f aca="false">CN65-CN66</f>
        <v>138</v>
      </c>
      <c r="CO67" s="362"/>
      <c r="CP67" s="362"/>
      <c r="CQ67" s="362"/>
      <c r="CR67" s="362"/>
      <c r="CS67" s="362"/>
      <c r="CT67" s="362"/>
      <c r="CU67" s="362"/>
      <c r="CV67" s="362"/>
      <c r="CW67" s="362"/>
      <c r="CX67" s="362"/>
      <c r="CY67" s="362"/>
      <c r="CZ67" s="362"/>
      <c r="DA67" s="362"/>
      <c r="DB67" s="362"/>
      <c r="DC67" s="362"/>
      <c r="DD67" s="362"/>
      <c r="DE67" s="362"/>
      <c r="DF67" s="362"/>
      <c r="DG67" s="362"/>
      <c r="DH67" s="362"/>
      <c r="DI67" s="362"/>
      <c r="DJ67" s="362"/>
      <c r="DK67" s="362"/>
      <c r="DL67" s="362"/>
      <c r="DM67" s="362"/>
      <c r="DN67" s="362"/>
      <c r="DO67" s="362"/>
      <c r="DP67" s="362"/>
      <c r="DQ67" s="362"/>
      <c r="DR67" s="362"/>
      <c r="DS67" s="362"/>
      <c r="DT67" s="362"/>
      <c r="DU67" s="362"/>
      <c r="DV67" s="362"/>
      <c r="DW67" s="362"/>
      <c r="DX67" s="362"/>
      <c r="DY67" s="362"/>
      <c r="DZ67" s="362"/>
      <c r="EA67" s="362"/>
      <c r="EB67" s="362"/>
      <c r="EC67" s="362"/>
      <c r="ED67" s="362"/>
      <c r="EE67" s="362"/>
      <c r="EF67" s="362"/>
      <c r="EG67" s="362"/>
      <c r="EH67" s="362"/>
      <c r="EI67" s="362"/>
      <c r="EJ67" s="362"/>
      <c r="EK67" s="362"/>
      <c r="EL67" s="362"/>
      <c r="EM67" s="362"/>
      <c r="EN67" s="362"/>
      <c r="EO67" s="362"/>
      <c r="EP67" s="362"/>
      <c r="EQ67" s="362"/>
      <c r="ER67" s="362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362"/>
      <c r="FP67" s="362"/>
      <c r="FQ67" s="362"/>
    </row>
    <row r="68" customFormat="false" ht="15.75" hidden="false" customHeight="true" outlineLevel="0" collapsed="false">
      <c r="C68" s="259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</row>
    <row r="69" customFormat="false" ht="381.75" hidden="false" customHeight="true" outlineLevel="0" collapsed="false"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</row>
    <row r="70" customFormat="false" ht="216.75" hidden="false" customHeight="true" outlineLevel="0" collapsed="false"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</row>
    <row r="71" customFormat="false" ht="15.75" hidden="false" customHeight="true" outlineLevel="0" collapsed="false"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</row>
    <row r="72" customFormat="false" ht="15.75" hidden="false" customHeight="true" outlineLevel="0" collapsed="false"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</row>
    <row r="73" customFormat="false" ht="15.75" hidden="false" customHeight="true" outlineLevel="0" collapsed="false"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</row>
    <row r="74" customFormat="false" ht="15.75" hidden="false" customHeight="true" outlineLevel="0" collapsed="false"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</row>
    <row r="75" customFormat="false" ht="15.75" hidden="false" customHeight="true" outlineLevel="0" collapsed="false"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</row>
    <row r="76" customFormat="false" ht="15.75" hidden="false" customHeight="true" outlineLevel="0" collapsed="false"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</row>
    <row r="77" customFormat="false" ht="15.75" hidden="false" customHeight="true" outlineLevel="0" collapsed="false"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</row>
    <row r="78" customFormat="false" ht="15.75" hidden="false" customHeight="true" outlineLevel="0" collapsed="false"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</row>
    <row r="79" customFormat="false" ht="15.75" hidden="false" customHeight="true" outlineLevel="0" collapsed="false"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</row>
    <row r="80" customFormat="false" ht="15.75" hidden="false" customHeight="true" outlineLevel="0" collapsed="false"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</row>
    <row r="81" customFormat="false" ht="15.75" hidden="false" customHeight="true" outlineLevel="0" collapsed="false"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</row>
    <row r="82" customFormat="false" ht="15.75" hidden="false" customHeight="true" outlineLevel="0" collapsed="false"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</row>
    <row r="83" customFormat="false" ht="15.75" hidden="false" customHeight="true" outlineLevel="0" collapsed="false"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</row>
    <row r="84" customFormat="false" ht="15.75" hidden="false" customHeight="true" outlineLevel="0" collapsed="false"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</row>
    <row r="85" customFormat="false" ht="15.75" hidden="false" customHeight="true" outlineLevel="0" collapsed="false"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</row>
    <row r="86" customFormat="false" ht="15.75" hidden="false" customHeight="true" outlineLevel="0" collapsed="false"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</row>
    <row r="87" customFormat="false" ht="15.75" hidden="false" customHeight="true" outlineLevel="0" collapsed="false"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</row>
    <row r="88" customFormat="false" ht="15.75" hidden="false" customHeight="true" outlineLevel="0" collapsed="false"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</row>
    <row r="89" customFormat="false" ht="15.75" hidden="false" customHeight="true" outlineLevel="0" collapsed="false"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</row>
    <row r="90" customFormat="false" ht="15.75" hidden="false" customHeight="true" outlineLevel="0" collapsed="false"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</row>
    <row r="91" customFormat="false" ht="15.75" hidden="false" customHeight="true" outlineLevel="0" collapsed="false"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</row>
    <row r="92" customFormat="false" ht="15.75" hidden="false" customHeight="true" outlineLevel="0" collapsed="false"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</row>
    <row r="93" customFormat="false" ht="15.75" hidden="false" customHeight="true" outlineLevel="0" collapsed="false"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</row>
    <row r="94" customFormat="false" ht="15.75" hidden="false" customHeight="true" outlineLevel="0" collapsed="false"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</row>
    <row r="95" customFormat="false" ht="15.75" hidden="false" customHeight="true" outlineLevel="0" collapsed="false"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</row>
    <row r="96" customFormat="false" ht="15.75" hidden="false" customHeight="true" outlineLevel="0" collapsed="false"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</row>
    <row r="97" customFormat="false" ht="15.75" hidden="false" customHeight="true" outlineLevel="0" collapsed="false"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</row>
    <row r="98" customFormat="false" ht="15.75" hidden="false" customHeight="true" outlineLevel="0" collapsed="false"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</row>
    <row r="99" customFormat="false" ht="15.75" hidden="false" customHeight="true" outlineLevel="0" collapsed="false"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</row>
    <row r="100" customFormat="false" ht="15.75" hidden="false" customHeight="true" outlineLevel="0" collapsed="false"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</row>
    <row r="101" customFormat="false" ht="15.75" hidden="false" customHeight="true" outlineLevel="0" collapsed="false"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</row>
    <row r="102" customFormat="false" ht="15.75" hidden="false" customHeight="true" outlineLevel="0" collapsed="false"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</row>
    <row r="103" customFormat="false" ht="15.75" hidden="false" customHeight="true" outlineLevel="0" collapsed="false"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</row>
    <row r="104" customFormat="false" ht="15.75" hidden="false" customHeight="true" outlineLevel="0" collapsed="false"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</row>
    <row r="105" customFormat="false" ht="15.75" hidden="false" customHeight="true" outlineLevel="0" collapsed="false"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</row>
    <row r="106" customFormat="false" ht="15.75" hidden="false" customHeight="true" outlineLevel="0" collapsed="false"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</row>
    <row r="107" customFormat="false" ht="15.75" hidden="false" customHeight="true" outlineLevel="0" collapsed="false"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</row>
    <row r="108" customFormat="false" ht="15.75" hidden="false" customHeight="true" outlineLevel="0" collapsed="false"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</row>
    <row r="109" customFormat="false" ht="15.75" hidden="false" customHeight="true" outlineLevel="0" collapsed="false"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</row>
    <row r="110" customFormat="false" ht="15.75" hidden="false" customHeight="true" outlineLevel="0" collapsed="false"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</row>
    <row r="111" customFormat="false" ht="15.75" hidden="false" customHeight="true" outlineLevel="0" collapsed="false"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</row>
    <row r="112" customFormat="false" ht="15.75" hidden="false" customHeight="true" outlineLevel="0" collapsed="false"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</row>
    <row r="113" customFormat="false" ht="15.75" hidden="false" customHeight="true" outlineLevel="0" collapsed="false"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</row>
    <row r="114" customFormat="false" ht="15.75" hidden="false" customHeight="true" outlineLevel="0" collapsed="false"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</row>
    <row r="115" customFormat="false" ht="15.75" hidden="false" customHeight="true" outlineLevel="0" collapsed="false"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</row>
    <row r="116" customFormat="false" ht="15.75" hidden="false" customHeight="true" outlineLevel="0" collapsed="false"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</row>
    <row r="117" customFormat="false" ht="15.75" hidden="false" customHeight="true" outlineLevel="0" collapsed="false"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</row>
    <row r="118" customFormat="false" ht="15.75" hidden="false" customHeight="true" outlineLevel="0" collapsed="false"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</row>
    <row r="119" customFormat="false" ht="15.75" hidden="false" customHeight="true" outlineLevel="0" collapsed="false"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</row>
    <row r="120" customFormat="false" ht="15.75" hidden="false" customHeight="true" outlineLevel="0" collapsed="false"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</row>
    <row r="121" customFormat="false" ht="15.75" hidden="false" customHeight="true" outlineLevel="0" collapsed="false"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</row>
    <row r="122" customFormat="false" ht="15.75" hidden="false" customHeight="true" outlineLevel="0" collapsed="false"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</row>
    <row r="123" customFormat="false" ht="15.75" hidden="false" customHeight="true" outlineLevel="0" collapsed="false"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</row>
    <row r="124" customFormat="false" ht="15.75" hidden="false" customHeight="true" outlineLevel="0" collapsed="false"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</row>
    <row r="125" customFormat="false" ht="15.75" hidden="false" customHeight="true" outlineLevel="0" collapsed="false"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</row>
    <row r="126" customFormat="false" ht="15.75" hidden="false" customHeight="true" outlineLevel="0" collapsed="false"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</row>
    <row r="127" customFormat="false" ht="15.75" hidden="false" customHeight="true" outlineLevel="0" collapsed="false"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</row>
    <row r="128" customFormat="false" ht="15.75" hidden="false" customHeight="true" outlineLevel="0" collapsed="false"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</row>
    <row r="129" customFormat="false" ht="15.75" hidden="false" customHeight="true" outlineLevel="0" collapsed="false"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</row>
    <row r="130" customFormat="false" ht="15.75" hidden="false" customHeight="true" outlineLevel="0" collapsed="false"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</row>
    <row r="131" customFormat="false" ht="15.75" hidden="false" customHeight="true" outlineLevel="0" collapsed="false"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</row>
    <row r="132" customFormat="false" ht="15.75" hidden="false" customHeight="true" outlineLevel="0" collapsed="false"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</row>
    <row r="133" customFormat="false" ht="15.75" hidden="false" customHeight="true" outlineLevel="0" collapsed="false"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</row>
    <row r="134" customFormat="false" ht="15.75" hidden="false" customHeight="true" outlineLevel="0" collapsed="false"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</row>
    <row r="135" customFormat="false" ht="15.75" hidden="false" customHeight="true" outlineLevel="0" collapsed="false"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</row>
    <row r="136" customFormat="false" ht="15.75" hidden="false" customHeight="true" outlineLevel="0" collapsed="false"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</row>
    <row r="137" customFormat="false" ht="15.75" hidden="false" customHeight="true" outlineLevel="0" collapsed="false"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</row>
    <row r="138" customFormat="false" ht="15.75" hidden="false" customHeight="true" outlineLevel="0" collapsed="false"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</row>
    <row r="139" customFormat="false" ht="15.75" hidden="false" customHeight="true" outlineLevel="0" collapsed="false"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</row>
    <row r="140" customFormat="false" ht="15.75" hidden="false" customHeight="true" outlineLevel="0" collapsed="false"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</row>
    <row r="141" customFormat="false" ht="15.75" hidden="false" customHeight="true" outlineLevel="0" collapsed="false"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</row>
    <row r="142" customFormat="false" ht="15.75" hidden="false" customHeight="true" outlineLevel="0" collapsed="false"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</row>
    <row r="143" customFormat="false" ht="15.75" hidden="false" customHeight="true" outlineLevel="0" collapsed="false"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</row>
    <row r="144" customFormat="false" ht="15.75" hidden="false" customHeight="true" outlineLevel="0" collapsed="false"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</row>
    <row r="145" customFormat="false" ht="15.75" hidden="false" customHeight="true" outlineLevel="0" collapsed="false"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</row>
    <row r="146" customFormat="false" ht="15.75" hidden="false" customHeight="true" outlineLevel="0" collapsed="false"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</row>
    <row r="147" customFormat="false" ht="15.75" hidden="false" customHeight="true" outlineLevel="0" collapsed="false"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</row>
    <row r="148" customFormat="false" ht="15.75" hidden="false" customHeight="true" outlineLevel="0" collapsed="false"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</row>
    <row r="149" customFormat="false" ht="15.75" hidden="false" customHeight="true" outlineLevel="0" collapsed="false"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</row>
    <row r="150" customFormat="false" ht="15.75" hidden="false" customHeight="true" outlineLevel="0" collapsed="false"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</row>
    <row r="151" customFormat="false" ht="15.75" hidden="false" customHeight="true" outlineLevel="0" collapsed="false"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</row>
    <row r="152" customFormat="false" ht="15.75" hidden="false" customHeight="true" outlineLevel="0" collapsed="false"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</row>
    <row r="153" customFormat="false" ht="15.75" hidden="false" customHeight="true" outlineLevel="0" collapsed="false"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</row>
    <row r="154" customFormat="false" ht="15.75" hidden="false" customHeight="true" outlineLevel="0" collapsed="false"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</row>
    <row r="155" customFormat="false" ht="15.75" hidden="false" customHeight="true" outlineLevel="0" collapsed="false"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</row>
    <row r="156" customFormat="false" ht="15.75" hidden="false" customHeight="true" outlineLevel="0" collapsed="false"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</row>
    <row r="157" customFormat="false" ht="15.75" hidden="false" customHeight="true" outlineLevel="0" collapsed="false"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</row>
    <row r="158" customFormat="false" ht="15.75" hidden="false" customHeight="true" outlineLevel="0" collapsed="false"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</row>
    <row r="159" customFormat="false" ht="15.75" hidden="false" customHeight="true" outlineLevel="0" collapsed="false"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</row>
    <row r="160" customFormat="false" ht="15.75" hidden="false" customHeight="true" outlineLevel="0" collapsed="false"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</row>
    <row r="161" customFormat="false" ht="15.75" hidden="false" customHeight="true" outlineLevel="0" collapsed="false"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</row>
    <row r="162" customFormat="false" ht="15.75" hidden="false" customHeight="true" outlineLevel="0" collapsed="false"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</row>
    <row r="163" customFormat="false" ht="15.75" hidden="false" customHeight="true" outlineLevel="0" collapsed="false"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</row>
    <row r="164" customFormat="false" ht="15.75" hidden="false" customHeight="true" outlineLevel="0" collapsed="false"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</row>
    <row r="165" customFormat="false" ht="15.75" hidden="false" customHeight="true" outlineLevel="0" collapsed="false"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</row>
    <row r="166" customFormat="false" ht="15.75" hidden="false" customHeight="true" outlineLevel="0" collapsed="false"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</row>
    <row r="167" customFormat="false" ht="15.75" hidden="false" customHeight="true" outlineLevel="0" collapsed="false"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</row>
    <row r="168" customFormat="false" ht="15.75" hidden="false" customHeight="true" outlineLevel="0" collapsed="false"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</row>
    <row r="169" customFormat="false" ht="15.75" hidden="false" customHeight="true" outlineLevel="0" collapsed="false"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</row>
    <row r="170" customFormat="false" ht="15.75" hidden="false" customHeight="true" outlineLevel="0" collapsed="false"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</row>
    <row r="171" customFormat="false" ht="15.75" hidden="false" customHeight="true" outlineLevel="0" collapsed="false"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</row>
    <row r="172" customFormat="false" ht="15.75" hidden="false" customHeight="true" outlineLevel="0" collapsed="false"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</row>
    <row r="173" customFormat="false" ht="15.75" hidden="false" customHeight="true" outlineLevel="0" collapsed="false"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</row>
    <row r="174" customFormat="false" ht="15.75" hidden="false" customHeight="true" outlineLevel="0" collapsed="false"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</row>
    <row r="175" customFormat="false" ht="15.75" hidden="false" customHeight="true" outlineLevel="0" collapsed="false"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</row>
    <row r="176" customFormat="false" ht="15.75" hidden="false" customHeight="true" outlineLevel="0" collapsed="false"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</row>
    <row r="177" customFormat="false" ht="15.75" hidden="false" customHeight="true" outlineLevel="0" collapsed="false"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</row>
    <row r="178" customFormat="false" ht="15.75" hidden="false" customHeight="true" outlineLevel="0" collapsed="false"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</row>
    <row r="179" customFormat="false" ht="15.75" hidden="false" customHeight="true" outlineLevel="0" collapsed="false"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</row>
    <row r="180" customFormat="false" ht="15.75" hidden="false" customHeight="true" outlineLevel="0" collapsed="false"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</row>
    <row r="181" customFormat="false" ht="15.75" hidden="false" customHeight="true" outlineLevel="0" collapsed="false"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</row>
    <row r="182" customFormat="false" ht="15.75" hidden="false" customHeight="true" outlineLevel="0" collapsed="false"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</row>
    <row r="183" customFormat="false" ht="15.75" hidden="false" customHeight="true" outlineLevel="0" collapsed="false"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</row>
    <row r="184" customFormat="false" ht="15.75" hidden="false" customHeight="true" outlineLevel="0" collapsed="false"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</row>
    <row r="185" customFormat="false" ht="15.75" hidden="false" customHeight="true" outlineLevel="0" collapsed="false"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</row>
    <row r="186" customFormat="false" ht="15.75" hidden="false" customHeight="true" outlineLevel="0" collapsed="false"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</row>
    <row r="187" customFormat="false" ht="15.75" hidden="false" customHeight="true" outlineLevel="0" collapsed="false"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</row>
    <row r="188" customFormat="false" ht="15.75" hidden="false" customHeight="true" outlineLevel="0" collapsed="false"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</row>
    <row r="189" customFormat="false" ht="15.75" hidden="false" customHeight="true" outlineLevel="0" collapsed="false"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</row>
    <row r="190" customFormat="false" ht="15.75" hidden="false" customHeight="true" outlineLevel="0" collapsed="false"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</row>
    <row r="191" customFormat="false" ht="15.75" hidden="false" customHeight="true" outlineLevel="0" collapsed="false"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</row>
    <row r="192" customFormat="false" ht="15.75" hidden="false" customHeight="true" outlineLevel="0" collapsed="false"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</row>
    <row r="193" customFormat="false" ht="15.75" hidden="false" customHeight="true" outlineLevel="0" collapsed="false"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</row>
    <row r="194" customFormat="false" ht="15.75" hidden="false" customHeight="true" outlineLevel="0" collapsed="false"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</row>
    <row r="195" customFormat="false" ht="15.75" hidden="false" customHeight="true" outlineLevel="0" collapsed="false"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</row>
    <row r="196" customFormat="false" ht="15.75" hidden="false" customHeight="true" outlineLevel="0" collapsed="false"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</row>
    <row r="197" customFormat="false" ht="15.75" hidden="false" customHeight="true" outlineLevel="0" collapsed="false"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</row>
    <row r="198" customFormat="false" ht="15.75" hidden="false" customHeight="true" outlineLevel="0" collapsed="false"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</row>
    <row r="199" customFormat="false" ht="15.75" hidden="false" customHeight="true" outlineLevel="0" collapsed="false"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</row>
    <row r="200" customFormat="false" ht="15.75" hidden="false" customHeight="true" outlineLevel="0" collapsed="false"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</row>
    <row r="201" customFormat="false" ht="15.75" hidden="false" customHeight="true" outlineLevel="0" collapsed="false"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</row>
    <row r="202" customFormat="false" ht="15.75" hidden="false" customHeight="true" outlineLevel="0" collapsed="false"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</row>
    <row r="203" customFormat="false" ht="15.75" hidden="false" customHeight="true" outlineLevel="0" collapsed="false"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</row>
    <row r="204" customFormat="false" ht="15.75" hidden="false" customHeight="true" outlineLevel="0" collapsed="false"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</row>
    <row r="205" customFormat="false" ht="15.75" hidden="false" customHeight="true" outlineLevel="0" collapsed="false"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</row>
    <row r="206" customFormat="false" ht="15.75" hidden="false" customHeight="true" outlineLevel="0" collapsed="false"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</row>
    <row r="207" customFormat="false" ht="15.75" hidden="false" customHeight="true" outlineLevel="0" collapsed="false"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</row>
    <row r="208" customFormat="false" ht="15.75" hidden="false" customHeight="true" outlineLevel="0" collapsed="false"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</row>
    <row r="209" customFormat="false" ht="15.75" hidden="false" customHeight="true" outlineLevel="0" collapsed="false"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</row>
    <row r="210" customFormat="false" ht="15.75" hidden="false" customHeight="true" outlineLevel="0" collapsed="false"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</row>
    <row r="211" customFormat="false" ht="15.75" hidden="false" customHeight="true" outlineLevel="0" collapsed="false"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</row>
    <row r="212" customFormat="false" ht="15.75" hidden="false" customHeight="true" outlineLevel="0" collapsed="false"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</row>
    <row r="213" customFormat="false" ht="15.75" hidden="false" customHeight="true" outlineLevel="0" collapsed="false"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</row>
    <row r="214" customFormat="false" ht="15.75" hidden="false" customHeight="true" outlineLevel="0" collapsed="false"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</row>
    <row r="215" customFormat="false" ht="15.75" hidden="false" customHeight="true" outlineLevel="0" collapsed="false"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</row>
    <row r="216" customFormat="false" ht="15.75" hidden="false" customHeight="true" outlineLevel="0" collapsed="false"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</row>
    <row r="217" customFormat="false" ht="15.75" hidden="false" customHeight="true" outlineLevel="0" collapsed="false"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</row>
    <row r="218" customFormat="false" ht="15.75" hidden="false" customHeight="true" outlineLevel="0" collapsed="false"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</row>
    <row r="219" customFormat="false" ht="15.75" hidden="false" customHeight="true" outlineLevel="0" collapsed="false"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</row>
    <row r="220" customFormat="false" ht="15.75" hidden="false" customHeight="true" outlineLevel="0" collapsed="false"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</row>
    <row r="221" customFormat="false" ht="15.75" hidden="false" customHeight="true" outlineLevel="0" collapsed="false"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</row>
    <row r="222" customFormat="false" ht="15.75" hidden="false" customHeight="true" outlineLevel="0" collapsed="false"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</row>
    <row r="223" customFormat="false" ht="15.75" hidden="false" customHeight="true" outlineLevel="0" collapsed="false"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</row>
    <row r="224" customFormat="false" ht="15.75" hidden="false" customHeight="true" outlineLevel="0" collapsed="false"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</row>
    <row r="225" customFormat="false" ht="15.75" hidden="false" customHeight="true" outlineLevel="0" collapsed="false"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</row>
    <row r="226" customFormat="false" ht="15.75" hidden="false" customHeight="true" outlineLevel="0" collapsed="false"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</row>
    <row r="227" customFormat="false" ht="15.75" hidden="false" customHeight="true" outlineLevel="0" collapsed="false"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</row>
    <row r="228" customFormat="false" ht="15.75" hidden="false" customHeight="true" outlineLevel="0" collapsed="false"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</row>
    <row r="229" customFormat="false" ht="15.75" hidden="false" customHeight="true" outlineLevel="0" collapsed="false"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</row>
    <row r="230" customFormat="false" ht="15.75" hidden="false" customHeight="true" outlineLevel="0" collapsed="false"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</row>
    <row r="231" customFormat="false" ht="15.75" hidden="false" customHeight="true" outlineLevel="0" collapsed="false"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</row>
    <row r="232" customFormat="false" ht="15.75" hidden="false" customHeight="true" outlineLevel="0" collapsed="false"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</row>
    <row r="233" customFormat="false" ht="15.75" hidden="false" customHeight="true" outlineLevel="0" collapsed="false"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</row>
    <row r="234" customFormat="false" ht="15.75" hidden="false" customHeight="true" outlineLevel="0" collapsed="false"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</row>
    <row r="235" customFormat="false" ht="15.75" hidden="false" customHeight="true" outlineLevel="0" collapsed="false"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</row>
    <row r="236" customFormat="false" ht="15.75" hidden="false" customHeight="true" outlineLevel="0" collapsed="false"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</row>
    <row r="237" customFormat="false" ht="15.75" hidden="false" customHeight="true" outlineLevel="0" collapsed="false"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</row>
    <row r="238" customFormat="false" ht="15.75" hidden="false" customHeight="true" outlineLevel="0" collapsed="false"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</row>
    <row r="239" customFormat="false" ht="15.75" hidden="false" customHeight="true" outlineLevel="0" collapsed="false"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</row>
    <row r="240" customFormat="false" ht="15.75" hidden="false" customHeight="true" outlineLevel="0" collapsed="false"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</row>
    <row r="241" customFormat="false" ht="15.75" hidden="false" customHeight="true" outlineLevel="0" collapsed="false"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</row>
    <row r="242" customFormat="false" ht="15.75" hidden="false" customHeight="true" outlineLevel="0" collapsed="false"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</row>
    <row r="243" customFormat="false" ht="15.75" hidden="false" customHeight="true" outlineLevel="0" collapsed="false"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</row>
    <row r="244" customFormat="false" ht="15.75" hidden="false" customHeight="true" outlineLevel="0" collapsed="false"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</row>
    <row r="245" customFormat="false" ht="15.75" hidden="false" customHeight="true" outlineLevel="0" collapsed="false"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</row>
    <row r="246" customFormat="false" ht="15.75" hidden="false" customHeight="true" outlineLevel="0" collapsed="false"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</row>
    <row r="247" customFormat="false" ht="15.75" hidden="false" customHeight="true" outlineLevel="0" collapsed="false"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</row>
    <row r="248" customFormat="false" ht="15.75" hidden="false" customHeight="true" outlineLevel="0" collapsed="false"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</row>
    <row r="249" customFormat="false" ht="15.75" hidden="false" customHeight="true" outlineLevel="0" collapsed="false"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</row>
    <row r="250" customFormat="false" ht="15.75" hidden="false" customHeight="true" outlineLevel="0" collapsed="false"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</row>
    <row r="251" customFormat="false" ht="15.75" hidden="false" customHeight="true" outlineLevel="0" collapsed="false"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</row>
    <row r="252" customFormat="false" ht="15.75" hidden="false" customHeight="true" outlineLevel="0" collapsed="false"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</row>
    <row r="253" customFormat="false" ht="15.75" hidden="false" customHeight="true" outlineLevel="0" collapsed="false"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</row>
    <row r="254" customFormat="false" ht="15.75" hidden="false" customHeight="true" outlineLevel="0" collapsed="false"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</row>
    <row r="255" customFormat="false" ht="15.75" hidden="false" customHeight="true" outlineLevel="0" collapsed="false"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</row>
    <row r="256" customFormat="false" ht="15.75" hidden="false" customHeight="true" outlineLevel="0" collapsed="false"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</row>
    <row r="257" customFormat="false" ht="15.75" hidden="false" customHeight="true" outlineLevel="0" collapsed="false"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</row>
    <row r="258" customFormat="false" ht="15.75" hidden="false" customHeight="true" outlineLevel="0" collapsed="false"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</row>
    <row r="259" customFormat="false" ht="15.75" hidden="false" customHeight="true" outlineLevel="0" collapsed="false"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</row>
    <row r="260" customFormat="false" ht="15.75" hidden="false" customHeight="true" outlineLevel="0" collapsed="false"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</row>
    <row r="261" customFormat="false" ht="15.75" hidden="false" customHeight="true" outlineLevel="0" collapsed="false"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</row>
    <row r="262" customFormat="false" ht="15.75" hidden="false" customHeight="true" outlineLevel="0" collapsed="false"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</row>
    <row r="263" customFormat="false" ht="15.75" hidden="false" customHeight="true" outlineLevel="0" collapsed="false"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</row>
    <row r="264" customFormat="false" ht="15.75" hidden="false" customHeight="true" outlineLevel="0" collapsed="false"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</row>
    <row r="265" customFormat="false" ht="15.75" hidden="false" customHeight="true" outlineLevel="0" collapsed="false"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</row>
    <row r="266" customFormat="false" ht="15.75" hidden="false" customHeight="true" outlineLevel="0" collapsed="false"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</row>
    <row r="267" customFormat="false" ht="15.75" hidden="false" customHeight="true" outlineLevel="0" collapsed="false"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</row>
    <row r="268" customFormat="false" ht="15.75" hidden="false" customHeight="true" outlineLevel="0" collapsed="false"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</row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</sheetData>
  <mergeCells count="47">
    <mergeCell ref="D3:F3"/>
    <mergeCell ref="D4:F4"/>
    <mergeCell ref="K4:K8"/>
    <mergeCell ref="D5:F5"/>
    <mergeCell ref="D6:F6"/>
    <mergeCell ref="D7:F7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CY9:DC9"/>
    <mergeCell ref="DD9:DH9"/>
    <mergeCell ref="DI9:DM9"/>
    <mergeCell ref="DN9:DR9"/>
    <mergeCell ref="DS9:DW9"/>
    <mergeCell ref="DX9:EB9"/>
    <mergeCell ref="EC9:EG9"/>
    <mergeCell ref="EH9:EL9"/>
    <mergeCell ref="EM9:EQ9"/>
    <mergeCell ref="ER9:EV9"/>
    <mergeCell ref="EW9:FA9"/>
    <mergeCell ref="FB9:FF9"/>
    <mergeCell ref="FG9:FK9"/>
    <mergeCell ref="FL9:FP9"/>
  </mergeCells>
  <conditionalFormatting sqref="L12:L18 L20:L25 L27:L32 L34:L61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B9CA"/>
    <pageSetUpPr fitToPage="true"/>
  </sheetPr>
  <dimension ref="B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9"/>
    <col collapsed="false" customWidth="true" hidden="false" outlineLevel="0" max="3" min="3" style="1" width="9.33"/>
    <col collapsed="false" customWidth="true" hidden="false" outlineLevel="0" max="4" min="4" style="1" width="33.44"/>
    <col collapsed="false" customWidth="true" hidden="false" outlineLevel="0" max="5" min="5" style="1" width="24"/>
    <col collapsed="false" customWidth="true" hidden="false" outlineLevel="0" max="6" min="6" style="1" width="65.78"/>
    <col collapsed="false" customWidth="true" hidden="false" outlineLevel="0" max="7" min="7" style="1" width="24"/>
    <col collapsed="false" customWidth="true" hidden="false" outlineLevel="0" max="9" min="8" style="1" width="13.78"/>
    <col collapsed="false" customWidth="true" hidden="false" outlineLevel="0" max="10" min="10" style="1" width="39.11"/>
    <col collapsed="false" customWidth="true" hidden="false" outlineLevel="0" max="11" min="11" style="1" width="3.33"/>
  </cols>
  <sheetData>
    <row r="1" customFormat="false" ht="49.5" hidden="false" customHeight="true" outlineLevel="0" collapsed="false">
      <c r="B1" s="574" t="s">
        <v>709</v>
      </c>
      <c r="C1" s="4"/>
      <c r="D1" s="4"/>
      <c r="E1" s="259"/>
      <c r="F1" s="4"/>
      <c r="G1" s="4"/>
      <c r="H1" s="4"/>
      <c r="I1" s="4"/>
      <c r="J1" s="4"/>
      <c r="K1" s="4"/>
    </row>
    <row r="2" customFormat="false" ht="36" hidden="false" customHeight="true" outlineLevel="0" collapsed="false">
      <c r="B2" s="575" t="s">
        <v>710</v>
      </c>
      <c r="C2" s="575" t="s">
        <v>22</v>
      </c>
      <c r="D2" s="576" t="s">
        <v>711</v>
      </c>
      <c r="E2" s="576" t="s">
        <v>590</v>
      </c>
      <c r="F2" s="576" t="s">
        <v>712</v>
      </c>
      <c r="G2" s="576" t="s">
        <v>591</v>
      </c>
      <c r="H2" s="575" t="s">
        <v>713</v>
      </c>
      <c r="I2" s="575" t="s">
        <v>714</v>
      </c>
      <c r="J2" s="576" t="s">
        <v>715</v>
      </c>
      <c r="K2" s="257"/>
    </row>
    <row r="3" customFormat="false" ht="19.5" hidden="false" customHeight="true" outlineLevel="0" collapsed="false">
      <c r="B3" s="577"/>
      <c r="C3" s="578"/>
      <c r="D3" s="578"/>
      <c r="E3" s="578"/>
      <c r="F3" s="578"/>
      <c r="G3" s="578"/>
      <c r="H3" s="579" t="n">
        <v>1</v>
      </c>
      <c r="I3" s="580" t="s">
        <v>716</v>
      </c>
      <c r="J3" s="578"/>
      <c r="K3" s="257"/>
    </row>
    <row r="4" customFormat="false" ht="19.5" hidden="false" customHeight="true" outlineLevel="0" collapsed="false">
      <c r="B4" s="577"/>
      <c r="C4" s="578"/>
      <c r="D4" s="578"/>
      <c r="E4" s="578"/>
      <c r="F4" s="578"/>
      <c r="G4" s="578"/>
      <c r="H4" s="579" t="n">
        <v>2</v>
      </c>
      <c r="I4" s="580" t="s">
        <v>717</v>
      </c>
      <c r="J4" s="578"/>
      <c r="K4" s="257"/>
    </row>
    <row r="5" customFormat="false" ht="19.5" hidden="false" customHeight="true" outlineLevel="0" collapsed="false">
      <c r="B5" s="577"/>
      <c r="C5" s="578"/>
      <c r="D5" s="578"/>
      <c r="E5" s="578"/>
      <c r="F5" s="578"/>
      <c r="G5" s="578"/>
      <c r="H5" s="579" t="n">
        <v>4</v>
      </c>
      <c r="I5" s="580" t="s">
        <v>717</v>
      </c>
      <c r="J5" s="578"/>
      <c r="K5" s="257"/>
    </row>
    <row r="6" customFormat="false" ht="19.5" hidden="false" customHeight="true" outlineLevel="0" collapsed="false">
      <c r="B6" s="577"/>
      <c r="C6" s="578"/>
      <c r="D6" s="578"/>
      <c r="E6" s="578"/>
      <c r="F6" s="578"/>
      <c r="G6" s="578"/>
      <c r="H6" s="579" t="n">
        <v>8</v>
      </c>
      <c r="I6" s="580" t="s">
        <v>718</v>
      </c>
      <c r="J6" s="578"/>
      <c r="K6" s="257"/>
    </row>
    <row r="7" customFormat="false" ht="19.5" hidden="false" customHeight="true" outlineLevel="0" collapsed="false">
      <c r="B7" s="577"/>
      <c r="C7" s="578"/>
      <c r="D7" s="578"/>
      <c r="E7" s="578"/>
      <c r="F7" s="578"/>
      <c r="G7" s="578"/>
      <c r="H7" s="579" t="n">
        <v>1</v>
      </c>
      <c r="I7" s="580" t="s">
        <v>719</v>
      </c>
      <c r="J7" s="578"/>
      <c r="K7" s="257"/>
    </row>
    <row r="8" customFormat="false" ht="19.5" hidden="false" customHeight="true" outlineLevel="0" collapsed="false">
      <c r="B8" s="577"/>
      <c r="C8" s="578"/>
      <c r="D8" s="578"/>
      <c r="E8" s="578"/>
      <c r="F8" s="578"/>
      <c r="G8" s="578"/>
      <c r="H8" s="579" t="n">
        <v>16</v>
      </c>
      <c r="I8" s="580" t="s">
        <v>716</v>
      </c>
      <c r="J8" s="578"/>
      <c r="K8" s="257"/>
    </row>
    <row r="9" customFormat="false" ht="19.5" hidden="false" customHeight="true" outlineLevel="0" collapsed="false">
      <c r="B9" s="577"/>
      <c r="C9" s="578"/>
      <c r="D9" s="578"/>
      <c r="E9" s="578"/>
      <c r="F9" s="578"/>
      <c r="G9" s="578"/>
      <c r="H9" s="579" t="n">
        <v>40</v>
      </c>
      <c r="I9" s="580" t="s">
        <v>716</v>
      </c>
      <c r="J9" s="578"/>
      <c r="K9" s="257"/>
    </row>
    <row r="10" customFormat="false" ht="19.5" hidden="false" customHeight="true" outlineLevel="0" collapsed="false">
      <c r="B10" s="577"/>
      <c r="C10" s="578"/>
      <c r="D10" s="578"/>
      <c r="E10" s="578"/>
      <c r="F10" s="578"/>
      <c r="G10" s="578"/>
      <c r="H10" s="579"/>
      <c r="I10" s="580"/>
      <c r="J10" s="578"/>
      <c r="K10" s="257"/>
    </row>
    <row r="11" customFormat="false" ht="19.5" hidden="false" customHeight="true" outlineLevel="0" collapsed="false">
      <c r="B11" s="577"/>
      <c r="C11" s="578"/>
      <c r="D11" s="578"/>
      <c r="E11" s="578"/>
      <c r="F11" s="578"/>
      <c r="G11" s="578"/>
      <c r="H11" s="579"/>
      <c r="I11" s="580"/>
      <c r="J11" s="578"/>
      <c r="K11" s="257"/>
    </row>
    <row r="12" customFormat="false" ht="19.5" hidden="false" customHeight="true" outlineLevel="0" collapsed="false">
      <c r="B12" s="577"/>
      <c r="C12" s="578"/>
      <c r="D12" s="578"/>
      <c r="E12" s="578"/>
      <c r="F12" s="578"/>
      <c r="G12" s="578"/>
      <c r="H12" s="579"/>
      <c r="I12" s="580"/>
      <c r="J12" s="578"/>
      <c r="K12" s="257"/>
    </row>
    <row r="13" customFormat="false" ht="19.5" hidden="false" customHeight="true" outlineLevel="0" collapsed="false">
      <c r="B13" s="577"/>
      <c r="C13" s="578"/>
      <c r="D13" s="578"/>
      <c r="E13" s="578"/>
      <c r="F13" s="578"/>
      <c r="G13" s="578"/>
      <c r="H13" s="579"/>
      <c r="I13" s="580"/>
      <c r="J13" s="578"/>
      <c r="K13" s="257"/>
    </row>
    <row r="14" customFormat="false" ht="19.5" hidden="false" customHeight="true" outlineLevel="0" collapsed="false">
      <c r="B14" s="577"/>
      <c r="C14" s="578"/>
      <c r="D14" s="578"/>
      <c r="E14" s="578"/>
      <c r="F14" s="578"/>
      <c r="G14" s="578"/>
      <c r="H14" s="579"/>
      <c r="I14" s="580"/>
      <c r="J14" s="578"/>
      <c r="K14" s="257"/>
    </row>
    <row r="15" customFormat="false" ht="19.5" hidden="false" customHeight="true" outlineLevel="0" collapsed="false">
      <c r="B15" s="577"/>
      <c r="C15" s="578"/>
      <c r="D15" s="578"/>
      <c r="E15" s="578"/>
      <c r="F15" s="578"/>
      <c r="G15" s="578"/>
      <c r="H15" s="579"/>
      <c r="I15" s="580"/>
      <c r="J15" s="578"/>
      <c r="K15" s="257"/>
    </row>
    <row r="16" customFormat="false" ht="19.5" hidden="false" customHeight="true" outlineLevel="0" collapsed="false">
      <c r="B16" s="577"/>
      <c r="C16" s="578"/>
      <c r="D16" s="578"/>
      <c r="E16" s="578"/>
      <c r="F16" s="578"/>
      <c r="G16" s="578"/>
      <c r="H16" s="579"/>
      <c r="I16" s="580"/>
      <c r="J16" s="578"/>
      <c r="K16" s="257"/>
    </row>
    <row r="17" customFormat="false" ht="19.5" hidden="false" customHeight="true" outlineLevel="0" collapsed="false">
      <c r="B17" s="577"/>
      <c r="C17" s="578"/>
      <c r="D17" s="578"/>
      <c r="E17" s="578"/>
      <c r="F17" s="578"/>
      <c r="G17" s="578"/>
      <c r="H17" s="579"/>
      <c r="I17" s="580"/>
      <c r="J17" s="578"/>
      <c r="K17" s="257"/>
    </row>
    <row r="18" customFormat="false" ht="19.5" hidden="false" customHeight="true" outlineLevel="0" collapsed="false">
      <c r="B18" s="577"/>
      <c r="C18" s="578"/>
      <c r="D18" s="578"/>
      <c r="E18" s="578"/>
      <c r="F18" s="578"/>
      <c r="G18" s="578"/>
      <c r="H18" s="579"/>
      <c r="I18" s="580"/>
      <c r="J18" s="578"/>
      <c r="K18" s="257"/>
    </row>
    <row r="19" customFormat="false" ht="19.5" hidden="false" customHeight="true" outlineLevel="0" collapsed="false">
      <c r="B19" s="577"/>
      <c r="C19" s="578"/>
      <c r="D19" s="578"/>
      <c r="E19" s="578"/>
      <c r="F19" s="578"/>
      <c r="G19" s="578"/>
      <c r="H19" s="579"/>
      <c r="I19" s="580"/>
      <c r="J19" s="578"/>
      <c r="K19" s="257"/>
    </row>
    <row r="20" customFormat="false" ht="19.5" hidden="false" customHeight="true" outlineLevel="0" collapsed="false">
      <c r="B20" s="577"/>
      <c r="C20" s="578"/>
      <c r="D20" s="578"/>
      <c r="E20" s="578"/>
      <c r="F20" s="578"/>
      <c r="G20" s="578"/>
      <c r="H20" s="579"/>
      <c r="I20" s="580"/>
      <c r="J20" s="578"/>
      <c r="K20" s="257"/>
    </row>
    <row r="21" customFormat="false" ht="19.5" hidden="false" customHeight="true" outlineLevel="0" collapsed="false">
      <c r="B21" s="577"/>
      <c r="C21" s="578"/>
      <c r="D21" s="578"/>
      <c r="E21" s="578"/>
      <c r="F21" s="578"/>
      <c r="G21" s="578"/>
      <c r="H21" s="579"/>
      <c r="I21" s="580"/>
      <c r="J21" s="578"/>
      <c r="K21" s="257"/>
    </row>
    <row r="22" customFormat="false" ht="19.5" hidden="false" customHeight="true" outlineLevel="0" collapsed="false">
      <c r="B22" s="577"/>
      <c r="C22" s="578"/>
      <c r="D22" s="578"/>
      <c r="E22" s="578"/>
      <c r="F22" s="578"/>
      <c r="G22" s="578"/>
      <c r="H22" s="579"/>
      <c r="I22" s="580"/>
      <c r="J22" s="578"/>
      <c r="K22" s="257"/>
    </row>
    <row r="23" customFormat="false" ht="19.5" hidden="false" customHeight="true" outlineLevel="0" collapsed="false">
      <c r="B23" s="577"/>
      <c r="C23" s="578"/>
      <c r="D23" s="578"/>
      <c r="E23" s="578"/>
      <c r="F23" s="578"/>
      <c r="G23" s="578"/>
      <c r="H23" s="579"/>
      <c r="I23" s="580"/>
      <c r="J23" s="578"/>
      <c r="K23" s="257"/>
    </row>
    <row r="24" customFormat="false" ht="19.5" hidden="false" customHeight="true" outlineLevel="0" collapsed="false">
      <c r="B24" s="577"/>
      <c r="C24" s="578"/>
      <c r="D24" s="578"/>
      <c r="E24" s="578"/>
      <c r="F24" s="578"/>
      <c r="G24" s="578"/>
      <c r="H24" s="579"/>
      <c r="I24" s="580"/>
      <c r="J24" s="578"/>
      <c r="K24" s="257"/>
    </row>
    <row r="25" customFormat="false" ht="19.5" hidden="false" customHeight="true" outlineLevel="0" collapsed="false">
      <c r="B25" s="577"/>
      <c r="C25" s="578"/>
      <c r="D25" s="578"/>
      <c r="E25" s="578"/>
      <c r="F25" s="578"/>
      <c r="G25" s="578"/>
      <c r="H25" s="579"/>
      <c r="I25" s="580"/>
      <c r="J25" s="578"/>
      <c r="K25" s="257"/>
    </row>
    <row r="26" customFormat="false" ht="19.5" hidden="false" customHeight="true" outlineLevel="0" collapsed="false">
      <c r="B26" s="577"/>
      <c r="C26" s="578"/>
      <c r="D26" s="578"/>
      <c r="E26" s="578"/>
      <c r="F26" s="578"/>
      <c r="G26" s="578"/>
      <c r="H26" s="579"/>
      <c r="I26" s="580"/>
      <c r="J26" s="578"/>
      <c r="K26" s="257"/>
    </row>
    <row r="27" customFormat="false" ht="19.5" hidden="false" customHeight="true" outlineLevel="0" collapsed="false">
      <c r="B27" s="577"/>
      <c r="C27" s="578"/>
      <c r="D27" s="578"/>
      <c r="E27" s="578"/>
      <c r="F27" s="578"/>
      <c r="G27" s="578"/>
      <c r="H27" s="579"/>
      <c r="I27" s="580"/>
      <c r="J27" s="578"/>
      <c r="K27" s="257"/>
    </row>
    <row r="28" customFormat="false" ht="19.5" hidden="false" customHeight="true" outlineLevel="0" collapsed="false">
      <c r="B28" s="577"/>
      <c r="C28" s="578"/>
      <c r="D28" s="578"/>
      <c r="E28" s="578"/>
      <c r="F28" s="578"/>
      <c r="G28" s="578"/>
      <c r="H28" s="579"/>
      <c r="I28" s="580"/>
      <c r="J28" s="578"/>
      <c r="K28" s="257"/>
    </row>
    <row r="29" customFormat="false" ht="19.5" hidden="false" customHeight="true" outlineLevel="0" collapsed="false">
      <c r="B29" s="577"/>
      <c r="C29" s="578"/>
      <c r="D29" s="578"/>
      <c r="E29" s="578"/>
      <c r="F29" s="578"/>
      <c r="G29" s="578"/>
      <c r="H29" s="579"/>
      <c r="I29" s="580"/>
      <c r="J29" s="578"/>
      <c r="K29" s="257"/>
    </row>
    <row r="30" customFormat="false" ht="19.5" hidden="false" customHeight="true" outlineLevel="0" collapsed="false">
      <c r="B30" s="577"/>
      <c r="C30" s="578"/>
      <c r="D30" s="578"/>
      <c r="E30" s="578"/>
      <c r="F30" s="578"/>
      <c r="G30" s="578"/>
      <c r="H30" s="579"/>
      <c r="I30" s="580"/>
      <c r="J30" s="578"/>
      <c r="K30" s="257"/>
    </row>
    <row r="31" customFormat="false" ht="19.5" hidden="false" customHeight="true" outlineLevel="0" collapsed="false">
      <c r="B31" s="577"/>
      <c r="C31" s="578"/>
      <c r="D31" s="578"/>
      <c r="E31" s="578"/>
      <c r="F31" s="578"/>
      <c r="G31" s="578"/>
      <c r="H31" s="579"/>
      <c r="I31" s="580"/>
      <c r="J31" s="578"/>
      <c r="K31" s="257"/>
    </row>
    <row r="32" customFormat="false" ht="19.5" hidden="false" customHeight="true" outlineLevel="0" collapsed="false">
      <c r="B32" s="577"/>
      <c r="C32" s="578"/>
      <c r="D32" s="578"/>
      <c r="E32" s="578"/>
      <c r="F32" s="578"/>
      <c r="G32" s="578"/>
      <c r="H32" s="579"/>
      <c r="I32" s="580"/>
      <c r="J32" s="578"/>
      <c r="K32" s="257"/>
    </row>
    <row r="33" customFormat="false" ht="19.5" hidden="false" customHeight="true" outlineLevel="0" collapsed="false">
      <c r="B33" s="577"/>
      <c r="C33" s="578"/>
      <c r="D33" s="578"/>
      <c r="E33" s="578"/>
      <c r="F33" s="578"/>
      <c r="G33" s="578"/>
      <c r="H33" s="579"/>
      <c r="I33" s="580"/>
      <c r="J33" s="578"/>
      <c r="K33" s="257"/>
    </row>
    <row r="34" customFormat="false" ht="19.5" hidden="false" customHeight="true" outlineLevel="0" collapsed="false">
      <c r="B34" s="577"/>
      <c r="C34" s="578"/>
      <c r="D34" s="578"/>
      <c r="E34" s="578"/>
      <c r="F34" s="578"/>
      <c r="G34" s="578"/>
      <c r="H34" s="579"/>
      <c r="I34" s="580"/>
      <c r="J34" s="578"/>
      <c r="K34" s="257"/>
    </row>
    <row r="35" customFormat="false" ht="19.5" hidden="false" customHeight="true" outlineLevel="0" collapsed="false">
      <c r="B35" s="577"/>
      <c r="C35" s="578"/>
      <c r="D35" s="578"/>
      <c r="E35" s="578"/>
      <c r="F35" s="578"/>
      <c r="G35" s="578"/>
      <c r="H35" s="579"/>
      <c r="I35" s="580"/>
      <c r="J35" s="578"/>
      <c r="K35" s="257"/>
    </row>
    <row r="36" customFormat="false" ht="19.5" hidden="false" customHeight="true" outlineLevel="0" collapsed="false">
      <c r="B36" s="577"/>
      <c r="C36" s="578"/>
      <c r="D36" s="578"/>
      <c r="E36" s="578"/>
      <c r="F36" s="578"/>
      <c r="G36" s="578"/>
      <c r="H36" s="579"/>
      <c r="I36" s="580"/>
      <c r="J36" s="578"/>
      <c r="K36" s="257"/>
    </row>
    <row r="37" customFormat="false" ht="19.5" hidden="false" customHeight="true" outlineLevel="0" collapsed="false">
      <c r="B37" s="577"/>
      <c r="C37" s="578"/>
      <c r="D37" s="578"/>
      <c r="E37" s="578"/>
      <c r="F37" s="578"/>
      <c r="G37" s="578"/>
      <c r="H37" s="579"/>
      <c r="I37" s="580"/>
      <c r="J37" s="578"/>
      <c r="K37" s="257"/>
    </row>
    <row r="38" customFormat="false" ht="19.5" hidden="false" customHeight="true" outlineLevel="0" collapsed="false">
      <c r="B38" s="577"/>
      <c r="C38" s="578"/>
      <c r="D38" s="578"/>
      <c r="E38" s="578"/>
      <c r="F38" s="578"/>
      <c r="G38" s="578"/>
      <c r="H38" s="579"/>
      <c r="I38" s="580"/>
      <c r="J38" s="578"/>
      <c r="K38" s="257"/>
    </row>
    <row r="39" customFormat="false" ht="19.5" hidden="false" customHeight="true" outlineLevel="0" collapsed="false">
      <c r="B39" s="577"/>
      <c r="C39" s="578"/>
      <c r="D39" s="578"/>
      <c r="E39" s="578"/>
      <c r="F39" s="578"/>
      <c r="G39" s="578"/>
      <c r="H39" s="579"/>
      <c r="I39" s="580"/>
      <c r="J39" s="578"/>
      <c r="K39" s="25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3:H39">
    <cfRule type="colorScale" priority="2">
      <colorScale>
        <cfvo type="min" val="0"/>
        <cfvo type="max" val="0"/>
        <color rgb="FFFFFFFF"/>
        <color rgb="FF9CC2E5"/>
      </colorScale>
    </cfRule>
  </conditionalFormatting>
  <conditionalFormatting sqref="I3:I39">
    <cfRule type="containsText" priority="3" operator="containsText" aboveAverage="0" equalAverage="0" bottom="0" percent="0" rank="0" text="Not Started" dxfId="8">
      <formula>NOT(ISERROR(SEARCH("Not Started",I3)))</formula>
    </cfRule>
    <cfRule type="containsText" priority="4" operator="containsText" aboveAverage="0" equalAverage="0" bottom="0" percent="0" rank="0" text="In Progress" dxfId="9">
      <formula>NOT(ISERROR(SEARCH("In Progress",I3)))</formula>
    </cfRule>
    <cfRule type="containsText" priority="5" operator="containsText" aboveAverage="0" equalAverage="0" bottom="0" percent="0" rank="0" text="Overdue" dxfId="10">
      <formula>NOT(ISERROR(SEARCH("Overdue",I3)))</formula>
    </cfRule>
    <cfRule type="containsText" priority="6" operator="containsText" aboveAverage="0" equalAverage="0" bottom="0" percent="0" rank="0" text="Complete" dxfId="11">
      <formula>NOT(ISERROR(SEARCH("Complete",I3)))</formula>
    </cfRule>
  </conditionalFormatting>
  <dataValidations count="2">
    <dataValidation allowBlank="true" errorStyle="stop" operator="between" showDropDown="false" showErrorMessage="true" showInputMessage="false" sqref="I3:I39" type="list">
      <formula1>'Dropdown Keys - Do Not Delete'!$B$4:$B$7</formula1>
      <formula2>0</formula2>
    </dataValidation>
    <dataValidation allowBlank="true" errorStyle="stop" operator="between" showDropDown="false" showErrorMessage="true" showInputMessage="false" sqref="H3:H39" type="list">
      <formula1>'Dropdown Keys - Do Not Delete'!$D$4:$D$11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true"/>
  </sheetPr>
  <dimension ref="B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24"/>
    <col collapsed="false" customWidth="true" hidden="false" outlineLevel="0" max="3" min="3" style="1" width="65.78"/>
    <col collapsed="false" customWidth="true" hidden="false" outlineLevel="0" max="4" min="4" style="1" width="24"/>
    <col collapsed="false" customWidth="true" hidden="false" outlineLevel="0" max="5" min="5" style="1" width="13.78"/>
    <col collapsed="false" customWidth="true" hidden="false" outlineLevel="0" max="6" min="6" style="1" width="3.33"/>
  </cols>
  <sheetData>
    <row r="1" customFormat="false" ht="49.5" hidden="false" customHeight="true" outlineLevel="0" collapsed="false">
      <c r="B1" s="574" t="s">
        <v>720</v>
      </c>
      <c r="C1" s="4"/>
      <c r="D1" s="4"/>
      <c r="E1" s="4"/>
      <c r="F1" s="4"/>
    </row>
    <row r="2" customFormat="false" ht="19.5" hidden="false" customHeight="true" outlineLevel="0" collapsed="false">
      <c r="B2" s="576" t="s">
        <v>590</v>
      </c>
      <c r="C2" s="576" t="s">
        <v>712</v>
      </c>
      <c r="D2" s="576" t="s">
        <v>721</v>
      </c>
      <c r="E2" s="575" t="s">
        <v>722</v>
      </c>
    </row>
    <row r="3" customFormat="false" ht="19.5" hidden="false" customHeight="true" outlineLevel="0" collapsed="false">
      <c r="B3" s="578"/>
      <c r="C3" s="578"/>
      <c r="D3" s="578"/>
      <c r="E3" s="581"/>
    </row>
    <row r="4" customFormat="false" ht="19.5" hidden="false" customHeight="true" outlineLevel="0" collapsed="false">
      <c r="B4" s="578"/>
      <c r="C4" s="578"/>
      <c r="D4" s="578"/>
      <c r="E4" s="581"/>
    </row>
    <row r="5" customFormat="false" ht="19.5" hidden="false" customHeight="true" outlineLevel="0" collapsed="false">
      <c r="B5" s="578"/>
      <c r="C5" s="578"/>
      <c r="D5" s="578"/>
      <c r="E5" s="581"/>
    </row>
    <row r="6" customFormat="false" ht="19.5" hidden="false" customHeight="true" outlineLevel="0" collapsed="false">
      <c r="B6" s="578"/>
      <c r="C6" s="578"/>
      <c r="D6" s="578"/>
      <c r="E6" s="581"/>
    </row>
    <row r="7" customFormat="false" ht="19.5" hidden="false" customHeight="true" outlineLevel="0" collapsed="false">
      <c r="B7" s="578"/>
      <c r="C7" s="578"/>
      <c r="D7" s="578"/>
      <c r="E7" s="581"/>
    </row>
    <row r="8" customFormat="false" ht="19.5" hidden="false" customHeight="true" outlineLevel="0" collapsed="false">
      <c r="B8" s="578"/>
      <c r="C8" s="578"/>
      <c r="D8" s="578"/>
      <c r="E8" s="581"/>
    </row>
    <row r="9" customFormat="false" ht="19.5" hidden="false" customHeight="true" outlineLevel="0" collapsed="false">
      <c r="B9" s="578"/>
      <c r="C9" s="578"/>
      <c r="D9" s="578"/>
      <c r="E9" s="581"/>
    </row>
    <row r="10" customFormat="false" ht="19.5" hidden="false" customHeight="true" outlineLevel="0" collapsed="false">
      <c r="B10" s="578"/>
      <c r="C10" s="578"/>
      <c r="D10" s="578"/>
      <c r="E10" s="581"/>
    </row>
    <row r="11" customFormat="false" ht="19.5" hidden="false" customHeight="true" outlineLevel="0" collapsed="false">
      <c r="B11" s="578"/>
      <c r="C11" s="578"/>
      <c r="D11" s="578"/>
      <c r="E11" s="581"/>
    </row>
    <row r="12" customFormat="false" ht="19.5" hidden="false" customHeight="true" outlineLevel="0" collapsed="false">
      <c r="B12" s="578"/>
      <c r="C12" s="578"/>
      <c r="D12" s="578"/>
      <c r="E12" s="581"/>
    </row>
    <row r="13" customFormat="false" ht="19.5" hidden="false" customHeight="true" outlineLevel="0" collapsed="false">
      <c r="B13" s="578"/>
      <c r="C13" s="578"/>
      <c r="D13" s="578"/>
      <c r="E13" s="581"/>
    </row>
    <row r="14" customFormat="false" ht="19.5" hidden="false" customHeight="true" outlineLevel="0" collapsed="false">
      <c r="B14" s="578"/>
      <c r="C14" s="578"/>
      <c r="D14" s="578"/>
      <c r="E14" s="581"/>
    </row>
    <row r="15" customFormat="false" ht="19.5" hidden="false" customHeight="true" outlineLevel="0" collapsed="false">
      <c r="B15" s="578"/>
      <c r="C15" s="578"/>
      <c r="D15" s="578"/>
      <c r="E15" s="581"/>
    </row>
    <row r="16" customFormat="false" ht="19.5" hidden="false" customHeight="true" outlineLevel="0" collapsed="false">
      <c r="B16" s="578"/>
      <c r="C16" s="578"/>
      <c r="D16" s="578"/>
      <c r="E16" s="581"/>
    </row>
    <row r="17" customFormat="false" ht="19.5" hidden="false" customHeight="true" outlineLevel="0" collapsed="false">
      <c r="B17" s="578"/>
      <c r="C17" s="578"/>
      <c r="D17" s="578"/>
      <c r="E17" s="581"/>
    </row>
    <row r="18" customFormat="false" ht="19.5" hidden="false" customHeight="true" outlineLevel="0" collapsed="false">
      <c r="B18" s="578"/>
      <c r="C18" s="578"/>
      <c r="D18" s="578"/>
      <c r="E18" s="581"/>
    </row>
    <row r="19" customFormat="false" ht="19.5" hidden="false" customHeight="true" outlineLevel="0" collapsed="false">
      <c r="B19" s="578"/>
      <c r="C19" s="578"/>
      <c r="D19" s="578"/>
      <c r="E19" s="581"/>
    </row>
    <row r="20" customFormat="false" ht="19.5" hidden="false" customHeight="true" outlineLevel="0" collapsed="false">
      <c r="B20" s="578"/>
      <c r="C20" s="578"/>
      <c r="D20" s="578"/>
      <c r="E20" s="581"/>
    </row>
    <row r="21" customFormat="false" ht="19.5" hidden="false" customHeight="true" outlineLevel="0" collapsed="false">
      <c r="B21" s="578"/>
      <c r="C21" s="578"/>
      <c r="D21" s="578"/>
      <c r="E21" s="581"/>
    </row>
    <row r="22" customFormat="false" ht="19.5" hidden="false" customHeight="true" outlineLevel="0" collapsed="false">
      <c r="B22" s="578"/>
      <c r="C22" s="578"/>
      <c r="D22" s="578"/>
      <c r="E22" s="581"/>
    </row>
    <row r="23" customFormat="false" ht="19.5" hidden="false" customHeight="true" outlineLevel="0" collapsed="false">
      <c r="B23" s="578"/>
      <c r="C23" s="578"/>
      <c r="D23" s="578"/>
      <c r="E23" s="581"/>
    </row>
    <row r="24" customFormat="false" ht="19.5" hidden="false" customHeight="true" outlineLevel="0" collapsed="false">
      <c r="B24" s="578"/>
      <c r="C24" s="578"/>
      <c r="D24" s="578"/>
      <c r="E24" s="581"/>
    </row>
    <row r="25" customFormat="false" ht="19.5" hidden="false" customHeight="true" outlineLevel="0" collapsed="false">
      <c r="B25" s="578"/>
      <c r="C25" s="578"/>
      <c r="D25" s="578"/>
      <c r="E25" s="581"/>
    </row>
    <row r="26" customFormat="false" ht="19.5" hidden="false" customHeight="true" outlineLevel="0" collapsed="false">
      <c r="B26" s="578"/>
      <c r="C26" s="578"/>
      <c r="D26" s="578"/>
      <c r="E26" s="581"/>
    </row>
    <row r="27" customFormat="false" ht="19.5" hidden="false" customHeight="true" outlineLevel="0" collapsed="false">
      <c r="B27" s="578"/>
      <c r="C27" s="578"/>
      <c r="D27" s="578"/>
      <c r="E27" s="581"/>
    </row>
    <row r="28" customFormat="false" ht="19.5" hidden="false" customHeight="true" outlineLevel="0" collapsed="false">
      <c r="B28" s="578"/>
      <c r="C28" s="578"/>
      <c r="D28" s="578"/>
      <c r="E28" s="581"/>
    </row>
    <row r="29" customFormat="false" ht="19.5" hidden="false" customHeight="true" outlineLevel="0" collapsed="false">
      <c r="B29" s="578"/>
      <c r="C29" s="578"/>
      <c r="D29" s="578"/>
      <c r="E29" s="581"/>
    </row>
    <row r="30" customFormat="false" ht="19.5" hidden="false" customHeight="true" outlineLevel="0" collapsed="false">
      <c r="B30" s="578"/>
      <c r="C30" s="578"/>
      <c r="D30" s="578"/>
      <c r="E30" s="581"/>
    </row>
    <row r="31" customFormat="false" ht="19.5" hidden="false" customHeight="true" outlineLevel="0" collapsed="false">
      <c r="B31" s="578"/>
      <c r="C31" s="578"/>
      <c r="D31" s="578"/>
      <c r="E31" s="581"/>
    </row>
    <row r="32" customFormat="false" ht="19.5" hidden="false" customHeight="true" outlineLevel="0" collapsed="false">
      <c r="B32" s="578"/>
      <c r="C32" s="578"/>
      <c r="D32" s="578"/>
      <c r="E32" s="581"/>
    </row>
    <row r="33" customFormat="false" ht="19.5" hidden="false" customHeight="true" outlineLevel="0" collapsed="false">
      <c r="B33" s="578"/>
      <c r="C33" s="578"/>
      <c r="D33" s="578"/>
      <c r="E33" s="581"/>
    </row>
    <row r="34" customFormat="false" ht="19.5" hidden="false" customHeight="true" outlineLevel="0" collapsed="false">
      <c r="B34" s="578"/>
      <c r="C34" s="578"/>
      <c r="D34" s="578"/>
      <c r="E34" s="581"/>
    </row>
    <row r="35" customFormat="false" ht="19.5" hidden="false" customHeight="true" outlineLevel="0" collapsed="false">
      <c r="B35" s="578"/>
      <c r="C35" s="578"/>
      <c r="D35" s="578"/>
      <c r="E35" s="581"/>
    </row>
    <row r="36" customFormat="false" ht="19.5" hidden="false" customHeight="true" outlineLevel="0" collapsed="false">
      <c r="B36" s="578"/>
      <c r="C36" s="578"/>
      <c r="D36" s="578"/>
      <c r="E36" s="581"/>
    </row>
    <row r="37" customFormat="false" ht="19.5" hidden="false" customHeight="true" outlineLevel="0" collapsed="false">
      <c r="B37" s="578"/>
      <c r="C37" s="578"/>
      <c r="D37" s="578"/>
      <c r="E37" s="581"/>
    </row>
    <row r="38" customFormat="false" ht="19.5" hidden="false" customHeight="true" outlineLevel="0" collapsed="false">
      <c r="B38" s="578"/>
      <c r="C38" s="578"/>
      <c r="D38" s="578"/>
      <c r="E38" s="581"/>
    </row>
    <row r="39" customFormat="false" ht="19.5" hidden="false" customHeight="true" outlineLevel="0" collapsed="false">
      <c r="B39" s="578"/>
      <c r="C39" s="578"/>
      <c r="D39" s="578"/>
      <c r="E39" s="581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F2D0"/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5.67"/>
    <col collapsed="false" customWidth="true" hidden="false" outlineLevel="0" max="3" min="3" style="1" width="3.67"/>
    <col collapsed="false" customWidth="true" hidden="false" outlineLevel="0" max="4" min="4" style="1" width="15.67"/>
    <col collapsed="false" customWidth="true" hidden="false" outlineLevel="0" max="26" min="5" style="1" width="8.56"/>
  </cols>
  <sheetData>
    <row r="1" customFormat="false" ht="15.75" hidden="false" customHeight="true" outlineLevel="0" collapsed="false"/>
    <row r="2" customFormat="false" ht="15.75" hidden="false" customHeight="true" outlineLevel="0" collapsed="false">
      <c r="B2" s="582" t="s">
        <v>723</v>
      </c>
    </row>
    <row r="3" customFormat="false" ht="45" hidden="false" customHeight="true" outlineLevel="0" collapsed="false">
      <c r="B3" s="583" t="s">
        <v>724</v>
      </c>
      <c r="C3" s="257"/>
      <c r="D3" s="583" t="s">
        <v>713</v>
      </c>
    </row>
    <row r="4" customFormat="false" ht="21.75" hidden="false" customHeight="true" outlineLevel="0" collapsed="false">
      <c r="B4" s="584" t="s">
        <v>716</v>
      </c>
      <c r="C4" s="257"/>
      <c r="D4" s="585" t="n">
        <v>1</v>
      </c>
    </row>
    <row r="5" customFormat="false" ht="21.75" hidden="false" customHeight="true" outlineLevel="0" collapsed="false">
      <c r="B5" s="586" t="s">
        <v>717</v>
      </c>
      <c r="C5" s="257"/>
      <c r="D5" s="585" t="n">
        <v>2</v>
      </c>
    </row>
    <row r="6" customFormat="false" ht="21.75" hidden="false" customHeight="true" outlineLevel="0" collapsed="false">
      <c r="B6" s="587" t="s">
        <v>718</v>
      </c>
      <c r="C6" s="257"/>
      <c r="D6" s="585" t="n">
        <v>4</v>
      </c>
    </row>
    <row r="7" customFormat="false" ht="21.75" hidden="false" customHeight="true" outlineLevel="0" collapsed="false">
      <c r="B7" s="588" t="s">
        <v>719</v>
      </c>
      <c r="C7" s="257"/>
      <c r="D7" s="585" t="n">
        <v>8</v>
      </c>
    </row>
    <row r="8" customFormat="false" ht="21.75" hidden="false" customHeight="true" outlineLevel="0" collapsed="false">
      <c r="B8" s="572"/>
      <c r="C8" s="257"/>
      <c r="D8" s="585" t="n">
        <v>16</v>
      </c>
    </row>
    <row r="9" customFormat="false" ht="21.75" hidden="false" customHeight="true" outlineLevel="0" collapsed="false">
      <c r="B9" s="572"/>
      <c r="C9" s="257"/>
      <c r="D9" s="585" t="n">
        <v>24</v>
      </c>
    </row>
    <row r="10" customFormat="false" ht="21.75" hidden="false" customHeight="true" outlineLevel="0" collapsed="false">
      <c r="B10" s="572"/>
      <c r="C10" s="257"/>
      <c r="D10" s="585" t="n">
        <v>40</v>
      </c>
    </row>
    <row r="11" customFormat="false" ht="21.75" hidden="false" customHeight="true" outlineLevel="0" collapsed="false">
      <c r="B11" s="572"/>
      <c r="C11" s="257"/>
      <c r="D11" s="589" t="n">
        <v>80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D11">
    <cfRule type="colorScale" priority="2">
      <colorScale>
        <cfvo type="min" val="0"/>
        <cfvo type="max" val="0"/>
        <color rgb="FFFFFFFF"/>
        <color rgb="FF9CC2E5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7.67"/>
    <col collapsed="false" customWidth="true" hidden="false" outlineLevel="0" max="2" min="2" style="1" width="3.44"/>
    <col collapsed="false" customWidth="true" hidden="false" outlineLevel="0" max="15" min="3" style="1" width="6.78"/>
    <col collapsed="false" customWidth="true" hidden="false" outlineLevel="0" max="16" min="16" style="1" width="3.44"/>
    <col collapsed="false" customWidth="true" hidden="false" outlineLevel="0" max="17" min="17" style="1" width="7.67"/>
    <col collapsed="false" customWidth="true" hidden="false" outlineLevel="0" max="18" min="18" style="1" width="3.44"/>
    <col collapsed="false" customWidth="true" hidden="false" outlineLevel="0" max="30" min="19" style="1" width="6.78"/>
    <col collapsed="false" customWidth="true" hidden="false" outlineLevel="0" max="31" min="31" style="1" width="3.44"/>
    <col collapsed="false" customWidth="true" hidden="false" outlineLevel="0" max="32" min="32" style="1" width="7.67"/>
  </cols>
  <sheetData>
    <row r="1" customFormat="false" ht="17.25" hidden="false" customHeight="true" outlineLevel="0" collapsed="false">
      <c r="A1" s="590"/>
      <c r="B1" s="590"/>
      <c r="C1" s="590"/>
      <c r="D1" s="590"/>
      <c r="E1" s="590"/>
      <c r="F1" s="590"/>
      <c r="G1" s="590"/>
      <c r="H1" s="590"/>
      <c r="I1" s="590"/>
      <c r="J1" s="590"/>
      <c r="K1" s="590"/>
      <c r="L1" s="590"/>
      <c r="M1" s="590"/>
      <c r="N1" s="590"/>
      <c r="O1" s="590"/>
      <c r="P1" s="590"/>
      <c r="Q1" s="345"/>
      <c r="R1" s="590"/>
      <c r="S1" s="590"/>
      <c r="T1" s="590"/>
      <c r="U1" s="590"/>
      <c r="V1" s="590"/>
      <c r="W1" s="590"/>
      <c r="X1" s="590"/>
      <c r="Y1" s="590"/>
      <c r="Z1" s="590"/>
      <c r="AA1" s="590"/>
      <c r="AB1" s="590"/>
      <c r="AC1" s="590"/>
      <c r="AD1" s="590"/>
      <c r="AE1" s="590"/>
      <c r="AF1" s="9"/>
      <c r="AG1" s="9"/>
      <c r="AH1" s="9"/>
      <c r="AI1" s="9"/>
      <c r="AJ1" s="9"/>
      <c r="AK1" s="9"/>
      <c r="AL1" s="9"/>
      <c r="AM1" s="9"/>
      <c r="AN1" s="9"/>
    </row>
    <row r="2" customFormat="false" ht="24.75" hidden="false" customHeight="true" outlineLevel="0" collapsed="false">
      <c r="A2" s="590"/>
      <c r="B2" s="591" t="s">
        <v>725</v>
      </c>
      <c r="C2" s="591"/>
      <c r="D2" s="591"/>
      <c r="E2" s="591"/>
      <c r="F2" s="591"/>
      <c r="G2" s="591"/>
      <c r="H2" s="591"/>
      <c r="I2" s="591"/>
      <c r="J2" s="591"/>
      <c r="K2" s="591"/>
      <c r="L2" s="591"/>
      <c r="M2" s="591"/>
      <c r="N2" s="591"/>
      <c r="O2" s="591"/>
      <c r="P2" s="591"/>
      <c r="Q2" s="345"/>
      <c r="R2" s="592" t="s">
        <v>726</v>
      </c>
      <c r="S2" s="592"/>
      <c r="T2" s="592"/>
      <c r="U2" s="592"/>
      <c r="V2" s="592"/>
      <c r="W2" s="592"/>
      <c r="X2" s="592"/>
      <c r="Y2" s="592"/>
      <c r="Z2" s="592"/>
      <c r="AA2" s="592"/>
      <c r="AB2" s="592"/>
      <c r="AC2" s="592"/>
      <c r="AD2" s="592"/>
      <c r="AE2" s="592"/>
      <c r="AF2" s="9"/>
      <c r="AG2" s="9"/>
      <c r="AH2" s="9"/>
      <c r="AI2" s="9"/>
      <c r="AJ2" s="9"/>
      <c r="AK2" s="9"/>
      <c r="AL2" s="9"/>
      <c r="AM2" s="9"/>
      <c r="AN2" s="9"/>
    </row>
    <row r="3" customFormat="false" ht="15" hidden="false" customHeight="true" outlineLevel="0" collapsed="false">
      <c r="A3" s="345"/>
      <c r="B3" s="593"/>
      <c r="C3" s="345"/>
      <c r="D3" s="345"/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594"/>
      <c r="Q3" s="345"/>
      <c r="R3" s="593"/>
      <c r="S3" s="345"/>
      <c r="T3" s="345"/>
      <c r="U3" s="345"/>
      <c r="V3" s="345"/>
      <c r="W3" s="345"/>
      <c r="X3" s="345"/>
      <c r="Y3" s="345"/>
      <c r="Z3" s="345"/>
      <c r="AA3" s="345"/>
      <c r="AB3" s="329"/>
      <c r="AC3" s="329"/>
      <c r="AD3" s="329"/>
      <c r="AE3" s="334"/>
    </row>
    <row r="4" customFormat="false" ht="15" hidden="false" customHeight="true" outlineLevel="0" collapsed="false">
      <c r="A4" s="595"/>
      <c r="B4" s="596"/>
      <c r="C4" s="597" t="s">
        <v>727</v>
      </c>
      <c r="D4" s="597"/>
      <c r="E4" s="597"/>
      <c r="F4" s="597"/>
      <c r="G4" s="597"/>
      <c r="H4" s="597"/>
      <c r="I4" s="597"/>
      <c r="J4" s="597"/>
      <c r="K4" s="597"/>
      <c r="L4" s="597"/>
      <c r="M4" s="597"/>
      <c r="N4" s="597"/>
      <c r="O4" s="595"/>
      <c r="P4" s="598"/>
      <c r="Q4" s="345"/>
      <c r="R4" s="593"/>
      <c r="S4" s="599" t="s">
        <v>728</v>
      </c>
      <c r="T4" s="599"/>
      <c r="U4" s="599"/>
      <c r="V4" s="599"/>
      <c r="W4" s="599"/>
      <c r="X4" s="599"/>
      <c r="Y4" s="599"/>
      <c r="Z4" s="599"/>
      <c r="AA4" s="599"/>
      <c r="AB4" s="599"/>
      <c r="AC4" s="599"/>
      <c r="AD4" s="599"/>
      <c r="AE4" s="334"/>
    </row>
    <row r="5" customFormat="false" ht="15" hidden="false" customHeight="true" outlineLevel="0" collapsed="false">
      <c r="A5" s="345"/>
      <c r="B5" s="593"/>
      <c r="C5" s="600" t="s">
        <v>729</v>
      </c>
      <c r="D5" s="600"/>
      <c r="E5" s="600"/>
      <c r="F5" s="600"/>
      <c r="G5" s="600"/>
      <c r="H5" s="600"/>
      <c r="I5" s="600"/>
      <c r="J5" s="600"/>
      <c r="K5" s="600"/>
      <c r="L5" s="600"/>
      <c r="M5" s="600"/>
      <c r="N5" s="600"/>
      <c r="O5" s="345"/>
      <c r="P5" s="594"/>
      <c r="Q5" s="345"/>
      <c r="R5" s="593"/>
      <c r="S5" s="345"/>
      <c r="T5" s="345"/>
      <c r="U5" s="345"/>
      <c r="V5" s="345"/>
      <c r="W5" s="345"/>
      <c r="X5" s="345"/>
      <c r="Y5" s="345"/>
      <c r="Z5" s="345"/>
      <c r="AA5" s="345"/>
      <c r="AB5" s="329"/>
      <c r="AC5" s="329"/>
      <c r="AD5" s="329"/>
      <c r="AE5" s="334"/>
    </row>
    <row r="6" customFormat="false" ht="15" hidden="false" customHeight="true" outlineLevel="0" collapsed="false">
      <c r="A6" s="345"/>
      <c r="B6" s="593"/>
      <c r="C6" s="329"/>
      <c r="D6" s="600" t="s">
        <v>730</v>
      </c>
      <c r="E6" s="600"/>
      <c r="F6" s="600"/>
      <c r="G6" s="600"/>
      <c r="H6" s="600"/>
      <c r="I6" s="600"/>
      <c r="J6" s="600"/>
      <c r="K6" s="600"/>
      <c r="L6" s="600"/>
      <c r="M6" s="600"/>
      <c r="N6" s="345"/>
      <c r="O6" s="345"/>
      <c r="P6" s="594"/>
      <c r="Q6" s="345"/>
      <c r="R6" s="593"/>
      <c r="S6" s="597" t="s">
        <v>731</v>
      </c>
      <c r="T6" s="597"/>
      <c r="U6" s="597"/>
      <c r="V6" s="597"/>
      <c r="W6" s="597"/>
      <c r="X6" s="597"/>
      <c r="Y6" s="597"/>
      <c r="Z6" s="597"/>
      <c r="AA6" s="597"/>
      <c r="AB6" s="597"/>
      <c r="AC6" s="597"/>
      <c r="AD6" s="597"/>
      <c r="AE6" s="334"/>
    </row>
    <row r="7" customFormat="false" ht="15" hidden="false" customHeight="true" outlineLevel="0" collapsed="false">
      <c r="A7" s="329"/>
      <c r="B7" s="333"/>
      <c r="C7" s="329"/>
      <c r="D7" s="600" t="s">
        <v>732</v>
      </c>
      <c r="E7" s="600"/>
      <c r="F7" s="600"/>
      <c r="G7" s="600"/>
      <c r="H7" s="600"/>
      <c r="I7" s="600"/>
      <c r="J7" s="600"/>
      <c r="K7" s="600"/>
      <c r="L7" s="600"/>
      <c r="M7" s="600"/>
      <c r="N7" s="345"/>
      <c r="O7" s="345"/>
      <c r="P7" s="594"/>
      <c r="Q7" s="345"/>
      <c r="R7" s="593"/>
      <c r="S7" s="345"/>
      <c r="T7" s="600" t="s">
        <v>733</v>
      </c>
      <c r="U7" s="600"/>
      <c r="V7" s="600"/>
      <c r="W7" s="600"/>
      <c r="X7" s="600"/>
      <c r="Y7" s="600"/>
      <c r="Z7" s="600"/>
      <c r="AA7" s="600"/>
      <c r="AB7" s="600"/>
      <c r="AC7" s="600"/>
      <c r="AD7" s="329"/>
      <c r="AE7" s="334"/>
    </row>
    <row r="8" customFormat="false" ht="15" hidden="false" customHeight="true" outlineLevel="0" collapsed="false">
      <c r="A8" s="345"/>
      <c r="B8" s="593"/>
      <c r="C8" s="345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594"/>
      <c r="Q8" s="345"/>
      <c r="R8" s="593"/>
      <c r="S8" s="345"/>
      <c r="T8" s="600" t="s">
        <v>734</v>
      </c>
      <c r="U8" s="600"/>
      <c r="V8" s="600"/>
      <c r="W8" s="600"/>
      <c r="X8" s="600"/>
      <c r="Y8" s="600"/>
      <c r="Z8" s="600"/>
      <c r="AA8" s="600"/>
      <c r="AB8" s="600"/>
      <c r="AC8" s="600"/>
      <c r="AD8" s="329"/>
      <c r="AE8" s="334"/>
    </row>
    <row r="9" customFormat="false" ht="15" hidden="false" customHeight="true" outlineLevel="0" collapsed="false">
      <c r="A9" s="595"/>
      <c r="B9" s="596"/>
      <c r="C9" s="597" t="s">
        <v>735</v>
      </c>
      <c r="D9" s="597"/>
      <c r="E9" s="597"/>
      <c r="F9" s="597"/>
      <c r="G9" s="597"/>
      <c r="H9" s="597"/>
      <c r="I9" s="597"/>
      <c r="J9" s="597"/>
      <c r="K9" s="597"/>
      <c r="L9" s="597"/>
      <c r="M9" s="597"/>
      <c r="N9" s="597"/>
      <c r="O9" s="595"/>
      <c r="P9" s="598"/>
      <c r="Q9" s="345"/>
      <c r="R9" s="593"/>
      <c r="S9" s="345"/>
      <c r="T9" s="600" t="s">
        <v>736</v>
      </c>
      <c r="U9" s="600"/>
      <c r="V9" s="600"/>
      <c r="W9" s="600"/>
      <c r="X9" s="600"/>
      <c r="Y9" s="600"/>
      <c r="Z9" s="600"/>
      <c r="AA9" s="600"/>
      <c r="AB9" s="600"/>
      <c r="AC9" s="600"/>
      <c r="AD9" s="329"/>
      <c r="AE9" s="334"/>
    </row>
    <row r="10" customFormat="false" ht="15" hidden="false" customHeight="true" outlineLevel="0" collapsed="false">
      <c r="A10" s="345"/>
      <c r="B10" s="593"/>
      <c r="C10" s="600" t="s">
        <v>737</v>
      </c>
      <c r="D10" s="600"/>
      <c r="E10" s="600"/>
      <c r="F10" s="600"/>
      <c r="G10" s="600"/>
      <c r="H10" s="600"/>
      <c r="I10" s="600"/>
      <c r="J10" s="600"/>
      <c r="K10" s="600"/>
      <c r="L10" s="600"/>
      <c r="M10" s="600"/>
      <c r="N10" s="600"/>
      <c r="O10" s="345"/>
      <c r="P10" s="594"/>
      <c r="Q10" s="345"/>
      <c r="R10" s="593"/>
      <c r="S10" s="345"/>
      <c r="T10" s="600" t="s">
        <v>738</v>
      </c>
      <c r="U10" s="600"/>
      <c r="V10" s="600"/>
      <c r="W10" s="600"/>
      <c r="X10" s="600"/>
      <c r="Y10" s="600"/>
      <c r="Z10" s="600"/>
      <c r="AA10" s="600"/>
      <c r="AB10" s="600"/>
      <c r="AC10" s="600"/>
      <c r="AD10" s="329"/>
      <c r="AE10" s="334"/>
    </row>
    <row r="11" customFormat="false" ht="15" hidden="false" customHeight="true" outlineLevel="0" collapsed="false">
      <c r="A11" s="345"/>
      <c r="B11" s="593"/>
      <c r="C11" s="329"/>
      <c r="D11" s="600" t="s">
        <v>739</v>
      </c>
      <c r="E11" s="600"/>
      <c r="F11" s="600"/>
      <c r="G11" s="600"/>
      <c r="H11" s="600"/>
      <c r="I11" s="600"/>
      <c r="J11" s="600"/>
      <c r="K11" s="600"/>
      <c r="L11" s="600"/>
      <c r="M11" s="600"/>
      <c r="N11" s="345"/>
      <c r="O11" s="345"/>
      <c r="P11" s="594"/>
      <c r="Q11" s="345"/>
      <c r="R11" s="593"/>
      <c r="S11" s="345"/>
      <c r="T11" s="329"/>
      <c r="U11" s="345"/>
      <c r="V11" s="345"/>
      <c r="W11" s="345"/>
      <c r="X11" s="345"/>
      <c r="Y11" s="345"/>
      <c r="Z11" s="345"/>
      <c r="AA11" s="345"/>
      <c r="AB11" s="329"/>
      <c r="AC11" s="329"/>
      <c r="AD11" s="329"/>
      <c r="AE11" s="334"/>
    </row>
    <row r="12" customFormat="false" ht="15" hidden="false" customHeight="true" outlineLevel="0" collapsed="false">
      <c r="A12" s="329"/>
      <c r="B12" s="333"/>
      <c r="C12" s="329"/>
      <c r="D12" s="600" t="s">
        <v>740</v>
      </c>
      <c r="E12" s="600"/>
      <c r="F12" s="600"/>
      <c r="G12" s="600"/>
      <c r="H12" s="600"/>
      <c r="I12" s="600"/>
      <c r="J12" s="600"/>
      <c r="K12" s="600"/>
      <c r="L12" s="600"/>
      <c r="M12" s="600"/>
      <c r="N12" s="345"/>
      <c r="O12" s="345"/>
      <c r="P12" s="594"/>
      <c r="Q12" s="345"/>
      <c r="R12" s="593"/>
      <c r="S12" s="597" t="s">
        <v>741</v>
      </c>
      <c r="T12" s="597"/>
      <c r="U12" s="597"/>
      <c r="V12" s="597"/>
      <c r="W12" s="597"/>
      <c r="X12" s="597"/>
      <c r="Y12" s="597"/>
      <c r="Z12" s="597"/>
      <c r="AA12" s="597"/>
      <c r="AB12" s="597"/>
      <c r="AC12" s="597"/>
      <c r="AD12" s="597"/>
      <c r="AE12" s="334"/>
    </row>
    <row r="13" customFormat="false" ht="15" hidden="false" customHeight="true" outlineLevel="0" collapsed="false">
      <c r="A13" s="345"/>
      <c r="B13" s="593"/>
      <c r="C13" s="345"/>
      <c r="D13" s="345"/>
      <c r="E13" s="345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594"/>
      <c r="Q13" s="345"/>
      <c r="R13" s="593"/>
      <c r="S13" s="345"/>
      <c r="T13" s="337" t="s">
        <v>742</v>
      </c>
      <c r="U13" s="337"/>
      <c r="V13" s="337"/>
      <c r="W13" s="337" t="s">
        <v>743</v>
      </c>
      <c r="X13" s="337"/>
      <c r="Y13" s="337"/>
      <c r="AA13" s="337" t="s">
        <v>744</v>
      </c>
      <c r="AB13" s="337"/>
      <c r="AC13" s="337"/>
      <c r="AD13" s="329"/>
      <c r="AE13" s="334"/>
    </row>
    <row r="14" customFormat="false" ht="15" hidden="false" customHeight="true" outlineLevel="0" collapsed="false">
      <c r="A14" s="595"/>
      <c r="B14" s="596"/>
      <c r="C14" s="597" t="s">
        <v>745</v>
      </c>
      <c r="D14" s="597"/>
      <c r="E14" s="597"/>
      <c r="F14" s="597"/>
      <c r="G14" s="597"/>
      <c r="H14" s="597"/>
      <c r="I14" s="597"/>
      <c r="J14" s="597"/>
      <c r="K14" s="597"/>
      <c r="L14" s="597"/>
      <c r="M14" s="597"/>
      <c r="N14" s="597"/>
      <c r="O14" s="595"/>
      <c r="P14" s="598"/>
      <c r="Q14" s="345"/>
      <c r="R14" s="593"/>
      <c r="S14" s="345"/>
      <c r="T14" s="337" t="s">
        <v>746</v>
      </c>
      <c r="U14" s="337"/>
      <c r="V14" s="337"/>
      <c r="W14" s="337" t="s">
        <v>747</v>
      </c>
      <c r="X14" s="337"/>
      <c r="Y14" s="337"/>
      <c r="Z14" s="337"/>
      <c r="AA14" s="337" t="s">
        <v>748</v>
      </c>
      <c r="AB14" s="337"/>
      <c r="AC14" s="337"/>
      <c r="AD14" s="329"/>
      <c r="AE14" s="334"/>
    </row>
    <row r="15" customFormat="false" ht="15" hidden="false" customHeight="true" outlineLevel="0" collapsed="false">
      <c r="A15" s="345"/>
      <c r="B15" s="593"/>
      <c r="C15" s="600" t="s">
        <v>749</v>
      </c>
      <c r="D15" s="600"/>
      <c r="E15" s="600"/>
      <c r="F15" s="600"/>
      <c r="G15" s="600"/>
      <c r="H15" s="600"/>
      <c r="I15" s="600"/>
      <c r="J15" s="600"/>
      <c r="K15" s="600"/>
      <c r="L15" s="600"/>
      <c r="M15" s="600"/>
      <c r="N15" s="600"/>
      <c r="O15" s="345"/>
      <c r="P15" s="594"/>
      <c r="Q15" s="345"/>
      <c r="R15" s="593"/>
      <c r="S15" s="345"/>
      <c r="T15" s="337" t="s">
        <v>750</v>
      </c>
      <c r="U15" s="337"/>
      <c r="V15" s="337"/>
      <c r="W15" s="329"/>
      <c r="X15" s="329"/>
      <c r="Y15" s="329"/>
      <c r="Z15" s="329"/>
      <c r="AA15" s="329"/>
      <c r="AE15" s="334"/>
    </row>
    <row r="16" customFormat="false" ht="15" hidden="false" customHeight="true" outlineLevel="0" collapsed="false">
      <c r="A16" s="345"/>
      <c r="B16" s="593"/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594"/>
      <c r="Q16" s="345"/>
      <c r="R16" s="593"/>
      <c r="S16" s="345"/>
      <c r="T16" s="329"/>
      <c r="U16" s="329"/>
      <c r="V16" s="329"/>
      <c r="W16" s="329"/>
      <c r="X16" s="329"/>
      <c r="Y16" s="345"/>
      <c r="Z16" s="345"/>
      <c r="AA16" s="345"/>
      <c r="AE16" s="334"/>
    </row>
    <row r="17" customFormat="false" ht="15" hidden="false" customHeight="true" outlineLevel="0" collapsed="false">
      <c r="A17" s="595"/>
      <c r="B17" s="596"/>
      <c r="C17" s="597" t="s">
        <v>751</v>
      </c>
      <c r="D17" s="597"/>
      <c r="E17" s="597"/>
      <c r="F17" s="597"/>
      <c r="G17" s="597"/>
      <c r="H17" s="597"/>
      <c r="I17" s="597"/>
      <c r="J17" s="597"/>
      <c r="K17" s="597"/>
      <c r="L17" s="597"/>
      <c r="M17" s="597"/>
      <c r="N17" s="597"/>
      <c r="O17" s="595"/>
      <c r="P17" s="598"/>
      <c r="Q17" s="345"/>
      <c r="R17" s="593"/>
      <c r="S17" s="597" t="s">
        <v>752</v>
      </c>
      <c r="T17" s="597"/>
      <c r="U17" s="597"/>
      <c r="V17" s="597"/>
      <c r="W17" s="597"/>
      <c r="X17" s="597"/>
      <c r="Y17" s="597"/>
      <c r="Z17" s="597"/>
      <c r="AA17" s="597"/>
      <c r="AB17" s="597"/>
      <c r="AC17" s="597"/>
      <c r="AD17" s="597"/>
      <c r="AE17" s="334"/>
    </row>
    <row r="18" customFormat="false" ht="15" hidden="false" customHeight="true" outlineLevel="0" collapsed="false">
      <c r="A18" s="601"/>
      <c r="B18" s="602"/>
      <c r="C18" s="603" t="s">
        <v>753</v>
      </c>
      <c r="D18" s="603"/>
      <c r="E18" s="603"/>
      <c r="F18" s="603"/>
      <c r="G18" s="603"/>
      <c r="H18" s="603"/>
      <c r="I18" s="603"/>
      <c r="J18" s="603"/>
      <c r="K18" s="603"/>
      <c r="L18" s="603"/>
      <c r="M18" s="603"/>
      <c r="N18" s="603"/>
      <c r="O18" s="601"/>
      <c r="P18" s="604"/>
      <c r="Q18" s="345"/>
      <c r="R18" s="593"/>
      <c r="S18" s="345"/>
      <c r="T18" s="337" t="s">
        <v>754</v>
      </c>
      <c r="U18" s="337"/>
      <c r="V18" s="337"/>
      <c r="W18" s="337" t="s">
        <v>755</v>
      </c>
      <c r="X18" s="337"/>
      <c r="Y18" s="337"/>
      <c r="Z18" s="329"/>
      <c r="AA18" s="329"/>
      <c r="AB18" s="329"/>
      <c r="AC18" s="329"/>
      <c r="AD18" s="329"/>
      <c r="AE18" s="334"/>
    </row>
    <row r="19" customFormat="false" ht="15" hidden="false" customHeight="true" outlineLevel="0" collapsed="false">
      <c r="A19" s="345"/>
      <c r="B19" s="593"/>
      <c r="C19" s="329"/>
      <c r="D19" s="600" t="s">
        <v>756</v>
      </c>
      <c r="E19" s="600"/>
      <c r="F19" s="600"/>
      <c r="G19" s="600"/>
      <c r="H19" s="600"/>
      <c r="I19" s="600"/>
      <c r="J19" s="600"/>
      <c r="K19" s="600"/>
      <c r="L19" s="600"/>
      <c r="M19" s="600"/>
      <c r="N19" s="345"/>
      <c r="O19" s="345"/>
      <c r="P19" s="594"/>
      <c r="Q19" s="345"/>
      <c r="R19" s="593"/>
      <c r="S19" s="345"/>
      <c r="T19" s="337" t="s">
        <v>757</v>
      </c>
      <c r="U19" s="337"/>
      <c r="V19" s="337"/>
      <c r="W19" s="337" t="s">
        <v>758</v>
      </c>
      <c r="X19" s="337"/>
      <c r="Y19" s="337"/>
      <c r="Z19" s="329"/>
      <c r="AA19" s="329"/>
      <c r="AB19" s="329"/>
      <c r="AC19" s="329"/>
      <c r="AD19" s="329"/>
      <c r="AE19" s="334"/>
    </row>
    <row r="20" customFormat="false" ht="15" hidden="false" customHeight="true" outlineLevel="0" collapsed="false">
      <c r="A20" s="329"/>
      <c r="B20" s="333"/>
      <c r="C20" s="329"/>
      <c r="D20" s="600" t="s">
        <v>759</v>
      </c>
      <c r="E20" s="600"/>
      <c r="F20" s="600"/>
      <c r="G20" s="600"/>
      <c r="H20" s="600"/>
      <c r="I20" s="600"/>
      <c r="J20" s="600"/>
      <c r="K20" s="600"/>
      <c r="L20" s="600"/>
      <c r="M20" s="600"/>
      <c r="N20" s="345"/>
      <c r="O20" s="345"/>
      <c r="P20" s="594"/>
      <c r="Q20" s="345"/>
      <c r="R20" s="593"/>
      <c r="S20" s="345"/>
      <c r="T20" s="337" t="s">
        <v>760</v>
      </c>
      <c r="U20" s="337"/>
      <c r="V20" s="337"/>
      <c r="W20" s="329"/>
      <c r="X20" s="329"/>
      <c r="Y20" s="337"/>
      <c r="Z20" s="337"/>
      <c r="AA20" s="337"/>
      <c r="AB20" s="329"/>
      <c r="AC20" s="329"/>
      <c r="AD20" s="329"/>
      <c r="AE20" s="334"/>
    </row>
    <row r="21" customFormat="false" ht="15" hidden="false" customHeight="true" outlineLevel="0" collapsed="false">
      <c r="A21" s="329"/>
      <c r="B21" s="333"/>
      <c r="C21" s="329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594"/>
      <c r="Q21" s="345"/>
      <c r="R21" s="593"/>
      <c r="S21" s="345"/>
      <c r="T21" s="329"/>
      <c r="U21" s="345"/>
      <c r="V21" s="345"/>
      <c r="W21" s="345"/>
      <c r="X21" s="345"/>
      <c r="Y21" s="345"/>
      <c r="Z21" s="345"/>
      <c r="AA21" s="345"/>
      <c r="AB21" s="329"/>
      <c r="AC21" s="329"/>
      <c r="AD21" s="329"/>
      <c r="AE21" s="334"/>
    </row>
    <row r="22" customFormat="false" ht="15" hidden="false" customHeight="true" outlineLevel="0" collapsed="false">
      <c r="A22" s="345"/>
      <c r="B22" s="593"/>
      <c r="C22" s="597" t="s">
        <v>761</v>
      </c>
      <c r="D22" s="597"/>
      <c r="E22" s="597"/>
      <c r="F22" s="597"/>
      <c r="G22" s="597"/>
      <c r="H22" s="597"/>
      <c r="I22" s="597"/>
      <c r="J22" s="597"/>
      <c r="K22" s="597"/>
      <c r="L22" s="597"/>
      <c r="M22" s="597"/>
      <c r="N22" s="597"/>
      <c r="O22" s="595"/>
      <c r="P22" s="598"/>
      <c r="Q22" s="345"/>
      <c r="R22" s="593"/>
      <c r="S22" s="597" t="s">
        <v>762</v>
      </c>
      <c r="T22" s="597"/>
      <c r="U22" s="597"/>
      <c r="V22" s="597"/>
      <c r="W22" s="597"/>
      <c r="X22" s="597"/>
      <c r="Y22" s="597"/>
      <c r="Z22" s="597"/>
      <c r="AA22" s="597"/>
      <c r="AB22" s="597"/>
      <c r="AC22" s="597"/>
      <c r="AD22" s="597"/>
      <c r="AE22" s="334"/>
    </row>
    <row r="23" customFormat="false" ht="15" hidden="false" customHeight="true" outlineLevel="0" collapsed="false">
      <c r="A23" s="345"/>
      <c r="B23" s="593"/>
      <c r="C23" s="600" t="s">
        <v>763</v>
      </c>
      <c r="D23" s="600"/>
      <c r="E23" s="600"/>
      <c r="F23" s="600"/>
      <c r="G23" s="600"/>
      <c r="H23" s="600"/>
      <c r="I23" s="600"/>
      <c r="J23" s="600"/>
      <c r="K23" s="600"/>
      <c r="L23" s="600"/>
      <c r="M23" s="600"/>
      <c r="N23" s="600"/>
      <c r="O23" s="345"/>
      <c r="P23" s="594"/>
      <c r="Q23" s="345"/>
      <c r="R23" s="593"/>
      <c r="S23" s="600" t="s">
        <v>764</v>
      </c>
      <c r="T23" s="600"/>
      <c r="U23" s="600"/>
      <c r="V23" s="600"/>
      <c r="W23" s="600"/>
      <c r="X23" s="600"/>
      <c r="Y23" s="600"/>
      <c r="Z23" s="600"/>
      <c r="AA23" s="600"/>
      <c r="AB23" s="600"/>
      <c r="AC23" s="600"/>
      <c r="AD23" s="600"/>
      <c r="AE23" s="334"/>
    </row>
    <row r="24" customFormat="false" ht="15" hidden="false" customHeight="true" outlineLevel="0" collapsed="false">
      <c r="A24" s="345"/>
      <c r="B24" s="593"/>
      <c r="C24" s="329"/>
      <c r="D24" s="600" t="s">
        <v>765</v>
      </c>
      <c r="E24" s="600"/>
      <c r="F24" s="600"/>
      <c r="G24" s="600"/>
      <c r="H24" s="600"/>
      <c r="I24" s="600"/>
      <c r="J24" s="600"/>
      <c r="K24" s="600"/>
      <c r="L24" s="600"/>
      <c r="M24" s="600"/>
      <c r="N24" s="345"/>
      <c r="O24" s="345"/>
      <c r="P24" s="594"/>
      <c r="Q24" s="345"/>
      <c r="R24" s="593"/>
      <c r="S24" s="345"/>
      <c r="T24" s="337" t="s">
        <v>766</v>
      </c>
      <c r="U24" s="337"/>
      <c r="V24" s="337"/>
      <c r="W24" s="337"/>
      <c r="X24" s="337"/>
      <c r="AE24" s="334"/>
    </row>
    <row r="25" customFormat="false" ht="15" hidden="false" customHeight="true" outlineLevel="0" collapsed="false">
      <c r="A25" s="345"/>
      <c r="B25" s="593"/>
      <c r="C25" s="329"/>
      <c r="D25" s="600" t="s">
        <v>767</v>
      </c>
      <c r="E25" s="600"/>
      <c r="F25" s="600"/>
      <c r="G25" s="600"/>
      <c r="H25" s="600"/>
      <c r="I25" s="600"/>
      <c r="J25" s="600"/>
      <c r="K25" s="600"/>
      <c r="L25" s="600"/>
      <c r="M25" s="600"/>
      <c r="N25" s="345"/>
      <c r="O25" s="345"/>
      <c r="P25" s="594"/>
      <c r="Q25" s="345"/>
      <c r="R25" s="593"/>
      <c r="S25" s="345"/>
      <c r="T25" s="337" t="s">
        <v>768</v>
      </c>
      <c r="U25" s="337"/>
      <c r="V25" s="337"/>
      <c r="W25" s="337"/>
      <c r="X25" s="337"/>
      <c r="Y25" s="337"/>
      <c r="Z25" s="600" t="s">
        <v>769</v>
      </c>
      <c r="AA25" s="600"/>
      <c r="AB25" s="600"/>
      <c r="AC25" s="600"/>
      <c r="AD25" s="600"/>
      <c r="AE25" s="334"/>
    </row>
    <row r="26" customFormat="false" ht="15" hidden="false" customHeight="true" outlineLevel="0" collapsed="false">
      <c r="A26" s="345"/>
      <c r="B26" s="593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594"/>
      <c r="Q26" s="345"/>
      <c r="R26" s="593"/>
      <c r="S26" s="345"/>
      <c r="T26" s="600" t="s">
        <v>770</v>
      </c>
      <c r="U26" s="600"/>
      <c r="V26" s="600"/>
      <c r="W26" s="600"/>
      <c r="X26" s="600"/>
      <c r="Z26" s="600" t="s">
        <v>771</v>
      </c>
      <c r="AA26" s="600"/>
      <c r="AB26" s="600"/>
      <c r="AC26" s="600"/>
      <c r="AD26" s="600"/>
      <c r="AE26" s="334"/>
    </row>
    <row r="27" customFormat="false" ht="15" hidden="false" customHeight="true" outlineLevel="0" collapsed="false">
      <c r="A27" s="345"/>
      <c r="B27" s="593"/>
      <c r="C27" s="597" t="s">
        <v>772</v>
      </c>
      <c r="D27" s="597"/>
      <c r="E27" s="597"/>
      <c r="F27" s="597"/>
      <c r="G27" s="597"/>
      <c r="H27" s="597"/>
      <c r="I27" s="597"/>
      <c r="J27" s="597"/>
      <c r="K27" s="597"/>
      <c r="L27" s="597"/>
      <c r="M27" s="597"/>
      <c r="N27" s="597"/>
      <c r="O27" s="595"/>
      <c r="P27" s="598"/>
      <c r="Q27" s="345"/>
      <c r="R27" s="593"/>
      <c r="S27" s="345"/>
      <c r="T27" s="600" t="s">
        <v>773</v>
      </c>
      <c r="U27" s="600"/>
      <c r="V27" s="600"/>
      <c r="W27" s="600"/>
      <c r="X27" s="600"/>
      <c r="Z27" s="600" t="s">
        <v>774</v>
      </c>
      <c r="AA27" s="600"/>
      <c r="AB27" s="600"/>
      <c r="AC27" s="600"/>
      <c r="AD27" s="600"/>
      <c r="AE27" s="334"/>
    </row>
    <row r="28" customFormat="false" ht="15" hidden="false" customHeight="true" outlineLevel="0" collapsed="false">
      <c r="A28" s="345"/>
      <c r="B28" s="593"/>
      <c r="C28" s="603" t="s">
        <v>775</v>
      </c>
      <c r="D28" s="603"/>
      <c r="E28" s="603"/>
      <c r="F28" s="603"/>
      <c r="G28" s="603"/>
      <c r="H28" s="603"/>
      <c r="I28" s="603"/>
      <c r="J28" s="603"/>
      <c r="K28" s="603"/>
      <c r="L28" s="603"/>
      <c r="M28" s="603"/>
      <c r="N28" s="603"/>
      <c r="O28" s="603"/>
      <c r="P28" s="594"/>
      <c r="Q28" s="345"/>
      <c r="R28" s="593"/>
      <c r="S28" s="345"/>
      <c r="T28" s="600" t="s">
        <v>776</v>
      </c>
      <c r="U28" s="600"/>
      <c r="V28" s="600"/>
      <c r="W28" s="600"/>
      <c r="X28" s="600"/>
      <c r="Z28" s="600" t="s">
        <v>777</v>
      </c>
      <c r="AA28" s="600"/>
      <c r="AB28" s="600"/>
      <c r="AC28" s="600"/>
      <c r="AD28" s="600"/>
      <c r="AE28" s="334"/>
    </row>
    <row r="29" customFormat="false" ht="15" hidden="false" customHeight="true" outlineLevel="0" collapsed="false">
      <c r="A29" s="345"/>
      <c r="B29" s="593"/>
      <c r="C29" s="329"/>
      <c r="D29" s="600" t="s">
        <v>778</v>
      </c>
      <c r="E29" s="600"/>
      <c r="F29" s="600"/>
      <c r="G29" s="600"/>
      <c r="H29" s="600"/>
      <c r="I29" s="600"/>
      <c r="J29" s="600"/>
      <c r="K29" s="600"/>
      <c r="L29" s="600"/>
      <c r="M29" s="600"/>
      <c r="N29" s="345"/>
      <c r="O29" s="345"/>
      <c r="P29" s="594"/>
      <c r="Q29" s="345"/>
      <c r="R29" s="593"/>
      <c r="S29" s="345"/>
      <c r="T29" s="600" t="s">
        <v>779</v>
      </c>
      <c r="U29" s="600"/>
      <c r="V29" s="600"/>
      <c r="W29" s="600"/>
      <c r="X29" s="600"/>
      <c r="Y29" s="345"/>
      <c r="Z29" s="600" t="s">
        <v>780</v>
      </c>
      <c r="AA29" s="600"/>
      <c r="AB29" s="600"/>
      <c r="AC29" s="600"/>
      <c r="AD29" s="600"/>
      <c r="AE29" s="334"/>
    </row>
    <row r="30" customFormat="false" ht="15" hidden="false" customHeight="true" outlineLevel="0" collapsed="false">
      <c r="A30" s="345"/>
      <c r="B30" s="593"/>
      <c r="C30" s="329"/>
      <c r="D30" s="600" t="s">
        <v>781</v>
      </c>
      <c r="E30" s="600"/>
      <c r="F30" s="600"/>
      <c r="G30" s="600"/>
      <c r="H30" s="600"/>
      <c r="I30" s="600"/>
      <c r="J30" s="600"/>
      <c r="K30" s="600"/>
      <c r="L30" s="600"/>
      <c r="M30" s="600"/>
      <c r="N30" s="345"/>
      <c r="O30" s="345"/>
      <c r="P30" s="594"/>
      <c r="Q30" s="345"/>
      <c r="R30" s="593"/>
      <c r="S30" s="345"/>
      <c r="T30" s="345"/>
      <c r="U30" s="345"/>
      <c r="V30" s="345"/>
      <c r="W30" s="345"/>
      <c r="X30" s="345"/>
      <c r="Y30" s="345"/>
      <c r="Z30" s="345"/>
      <c r="AA30" s="345"/>
      <c r="AB30" s="329"/>
      <c r="AC30" s="329"/>
      <c r="AD30" s="329"/>
      <c r="AE30" s="334"/>
    </row>
    <row r="31" customFormat="false" ht="15" hidden="false" customHeight="true" outlineLevel="0" collapsed="false">
      <c r="A31" s="345"/>
      <c r="B31" s="593"/>
      <c r="C31" s="345"/>
      <c r="D31" s="345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594"/>
      <c r="Q31" s="345"/>
      <c r="R31" s="593"/>
      <c r="S31" s="597" t="s">
        <v>782</v>
      </c>
      <c r="T31" s="597"/>
      <c r="U31" s="597"/>
      <c r="V31" s="597"/>
      <c r="W31" s="597"/>
      <c r="X31" s="597"/>
      <c r="Y31" s="597"/>
      <c r="Z31" s="597"/>
      <c r="AA31" s="597"/>
      <c r="AB31" s="597"/>
      <c r="AC31" s="597"/>
      <c r="AD31" s="597"/>
      <c r="AE31" s="334"/>
    </row>
    <row r="32" customFormat="false" ht="15" hidden="false" customHeight="true" outlineLevel="0" collapsed="false">
      <c r="A32" s="345"/>
      <c r="B32" s="593"/>
      <c r="C32" s="597" t="s">
        <v>783</v>
      </c>
      <c r="D32" s="597"/>
      <c r="E32" s="597"/>
      <c r="F32" s="597"/>
      <c r="G32" s="597"/>
      <c r="H32" s="597"/>
      <c r="I32" s="597"/>
      <c r="J32" s="597"/>
      <c r="K32" s="597"/>
      <c r="L32" s="597"/>
      <c r="M32" s="597"/>
      <c r="N32" s="597"/>
      <c r="O32" s="595"/>
      <c r="P32" s="598"/>
      <c r="Q32" s="345"/>
      <c r="R32" s="593"/>
      <c r="S32" s="600" t="s">
        <v>784</v>
      </c>
      <c r="T32" s="600"/>
      <c r="U32" s="600"/>
      <c r="V32" s="600"/>
      <c r="W32" s="600"/>
      <c r="X32" s="600"/>
      <c r="Y32" s="600"/>
      <c r="Z32" s="600"/>
      <c r="AA32" s="600"/>
      <c r="AB32" s="600"/>
      <c r="AC32" s="600"/>
      <c r="AD32" s="600"/>
      <c r="AE32" s="334"/>
    </row>
    <row r="33" customFormat="false" ht="15" hidden="false" customHeight="true" outlineLevel="0" collapsed="false">
      <c r="A33" s="345"/>
      <c r="B33" s="593"/>
      <c r="C33" s="600" t="s">
        <v>785</v>
      </c>
      <c r="D33" s="600"/>
      <c r="E33" s="600"/>
      <c r="F33" s="600"/>
      <c r="G33" s="600"/>
      <c r="H33" s="600"/>
      <c r="I33" s="600"/>
      <c r="J33" s="600"/>
      <c r="K33" s="600"/>
      <c r="L33" s="600"/>
      <c r="M33" s="600"/>
      <c r="N33" s="600"/>
      <c r="O33" s="345"/>
      <c r="P33" s="594"/>
      <c r="Q33" s="345"/>
      <c r="R33" s="593"/>
      <c r="S33" s="345"/>
      <c r="T33" s="337" t="s">
        <v>786</v>
      </c>
      <c r="U33" s="337"/>
      <c r="V33" s="337"/>
      <c r="W33" s="337"/>
      <c r="X33" s="337"/>
      <c r="Y33" s="600" t="s">
        <v>787</v>
      </c>
      <c r="Z33" s="600"/>
      <c r="AA33" s="600"/>
      <c r="AB33" s="600"/>
      <c r="AC33" s="600"/>
      <c r="AD33" s="329"/>
      <c r="AE33" s="334"/>
    </row>
    <row r="34" customFormat="false" ht="15" hidden="false" customHeight="true" outlineLevel="0" collapsed="false">
      <c r="A34" s="345"/>
      <c r="B34" s="593"/>
      <c r="C34" s="329"/>
      <c r="D34" s="600" t="s">
        <v>788</v>
      </c>
      <c r="E34" s="600"/>
      <c r="F34" s="600"/>
      <c r="G34" s="600"/>
      <c r="H34" s="600"/>
      <c r="I34" s="600"/>
      <c r="J34" s="600"/>
      <c r="K34" s="600"/>
      <c r="L34" s="600"/>
      <c r="M34" s="600"/>
      <c r="N34" s="345"/>
      <c r="O34" s="345"/>
      <c r="P34" s="594"/>
      <c r="Q34" s="345"/>
      <c r="R34" s="593"/>
      <c r="S34" s="345"/>
      <c r="T34" s="337" t="s">
        <v>789</v>
      </c>
      <c r="U34" s="337"/>
      <c r="V34" s="337"/>
      <c r="W34" s="337"/>
      <c r="X34" s="337"/>
      <c r="Y34" s="600" t="s">
        <v>790</v>
      </c>
      <c r="Z34" s="600"/>
      <c r="AA34" s="600"/>
      <c r="AB34" s="600"/>
      <c r="AC34" s="600"/>
      <c r="AD34" s="329"/>
      <c r="AE34" s="334"/>
    </row>
    <row r="35" customFormat="false" ht="15" hidden="false" customHeight="true" outlineLevel="0" collapsed="false">
      <c r="A35" s="345"/>
      <c r="B35" s="593"/>
      <c r="C35" s="329"/>
      <c r="D35" s="600" t="s">
        <v>791</v>
      </c>
      <c r="E35" s="600"/>
      <c r="F35" s="600"/>
      <c r="G35" s="600"/>
      <c r="H35" s="600"/>
      <c r="I35" s="600"/>
      <c r="J35" s="600"/>
      <c r="K35" s="600"/>
      <c r="L35" s="600"/>
      <c r="M35" s="600"/>
      <c r="N35" s="345"/>
      <c r="O35" s="345"/>
      <c r="P35" s="594"/>
      <c r="Q35" s="345"/>
      <c r="R35" s="593"/>
      <c r="S35" s="345"/>
      <c r="T35" s="600" t="s">
        <v>792</v>
      </c>
      <c r="U35" s="600"/>
      <c r="V35" s="600"/>
      <c r="W35" s="600"/>
      <c r="X35" s="600"/>
      <c r="Y35" s="600" t="s">
        <v>793</v>
      </c>
      <c r="Z35" s="600"/>
      <c r="AA35" s="600"/>
      <c r="AB35" s="600"/>
      <c r="AC35" s="600"/>
      <c r="AD35" s="329"/>
      <c r="AE35" s="334"/>
    </row>
    <row r="36" customFormat="false" ht="15" hidden="false" customHeight="true" outlineLevel="0" collapsed="false">
      <c r="A36" s="345"/>
      <c r="B36" s="593"/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594"/>
      <c r="Q36" s="345"/>
      <c r="R36" s="593"/>
      <c r="S36" s="345"/>
      <c r="T36" s="600" t="s">
        <v>794</v>
      </c>
      <c r="U36" s="600"/>
      <c r="V36" s="600"/>
      <c r="W36" s="600"/>
      <c r="X36" s="600"/>
      <c r="Y36" s="600" t="s">
        <v>795</v>
      </c>
      <c r="Z36" s="600"/>
      <c r="AA36" s="600"/>
      <c r="AB36" s="600"/>
      <c r="AC36" s="600"/>
      <c r="AD36" s="329"/>
      <c r="AE36" s="334"/>
    </row>
    <row r="37" customFormat="false" ht="15" hidden="false" customHeight="true" outlineLevel="0" collapsed="false">
      <c r="A37" s="345"/>
      <c r="B37" s="593"/>
      <c r="C37" s="597" t="s">
        <v>796</v>
      </c>
      <c r="D37" s="597"/>
      <c r="E37" s="597"/>
      <c r="F37" s="597"/>
      <c r="G37" s="597"/>
      <c r="H37" s="597"/>
      <c r="I37" s="597"/>
      <c r="J37" s="597"/>
      <c r="K37" s="597"/>
      <c r="L37" s="597"/>
      <c r="M37" s="597"/>
      <c r="N37" s="597"/>
      <c r="O37" s="595"/>
      <c r="P37" s="594"/>
      <c r="Q37" s="345"/>
      <c r="R37" s="593"/>
      <c r="S37" s="345"/>
      <c r="T37" s="345"/>
      <c r="U37" s="345"/>
      <c r="V37" s="345"/>
      <c r="W37" s="345"/>
      <c r="X37" s="345"/>
      <c r="Y37" s="345"/>
      <c r="Z37" s="345"/>
      <c r="AA37" s="345"/>
      <c r="AB37" s="329"/>
      <c r="AC37" s="329"/>
      <c r="AD37" s="329"/>
      <c r="AE37" s="334"/>
    </row>
    <row r="38" customFormat="false" ht="15" hidden="false" customHeight="true" outlineLevel="0" collapsed="false">
      <c r="A38" s="345"/>
      <c r="B38" s="593"/>
      <c r="C38" s="600" t="s">
        <v>797</v>
      </c>
      <c r="D38" s="600"/>
      <c r="E38" s="600"/>
      <c r="F38" s="600"/>
      <c r="G38" s="600"/>
      <c r="H38" s="600"/>
      <c r="I38" s="600"/>
      <c r="J38" s="600"/>
      <c r="K38" s="600"/>
      <c r="L38" s="600"/>
      <c r="M38" s="600"/>
      <c r="N38" s="600"/>
      <c r="O38" s="345"/>
      <c r="P38" s="594"/>
      <c r="Q38" s="345"/>
      <c r="R38" s="593"/>
      <c r="S38" s="597" t="s">
        <v>798</v>
      </c>
      <c r="T38" s="597"/>
      <c r="U38" s="597"/>
      <c r="V38" s="597"/>
      <c r="W38" s="597"/>
      <c r="X38" s="597"/>
      <c r="Y38" s="597"/>
      <c r="Z38" s="597"/>
      <c r="AA38" s="597"/>
      <c r="AB38" s="597"/>
      <c r="AC38" s="597"/>
      <c r="AD38" s="597"/>
      <c r="AE38" s="334"/>
    </row>
    <row r="39" customFormat="false" ht="15" hidden="false" customHeight="true" outlineLevel="0" collapsed="false">
      <c r="A39" s="345"/>
      <c r="B39" s="593"/>
      <c r="C39" s="329"/>
      <c r="D39" s="600" t="s">
        <v>799</v>
      </c>
      <c r="E39" s="600"/>
      <c r="F39" s="600"/>
      <c r="G39" s="600"/>
      <c r="H39" s="600"/>
      <c r="I39" s="600"/>
      <c r="J39" s="600"/>
      <c r="K39" s="600"/>
      <c r="L39" s="600"/>
      <c r="M39" s="600"/>
      <c r="N39" s="345"/>
      <c r="O39" s="345"/>
      <c r="P39" s="594"/>
      <c r="Q39" s="345"/>
      <c r="R39" s="593"/>
      <c r="S39" s="600" t="s">
        <v>800</v>
      </c>
      <c r="T39" s="600"/>
      <c r="U39" s="600"/>
      <c r="V39" s="600"/>
      <c r="W39" s="600"/>
      <c r="X39" s="600"/>
      <c r="Y39" s="600"/>
      <c r="Z39" s="600"/>
      <c r="AA39" s="600"/>
      <c r="AB39" s="600"/>
      <c r="AC39" s="600"/>
      <c r="AD39" s="600"/>
      <c r="AE39" s="334"/>
    </row>
    <row r="40" customFormat="false" ht="15" hidden="false" customHeight="true" outlineLevel="0" collapsed="false">
      <c r="A40" s="345"/>
      <c r="B40" s="593"/>
      <c r="C40" s="329"/>
      <c r="D40" s="600" t="s">
        <v>801</v>
      </c>
      <c r="E40" s="600"/>
      <c r="F40" s="600"/>
      <c r="G40" s="600"/>
      <c r="H40" s="600"/>
      <c r="I40" s="600"/>
      <c r="J40" s="600"/>
      <c r="K40" s="600"/>
      <c r="L40" s="600"/>
      <c r="M40" s="600"/>
      <c r="N40" s="345"/>
      <c r="O40" s="345"/>
      <c r="P40" s="594"/>
      <c r="Q40" s="345"/>
      <c r="R40" s="593"/>
      <c r="S40" s="345"/>
      <c r="T40" s="337" t="s">
        <v>802</v>
      </c>
      <c r="U40" s="337"/>
      <c r="V40" s="337"/>
      <c r="W40" s="337"/>
      <c r="X40" s="337"/>
      <c r="Y40" s="600" t="s">
        <v>803</v>
      </c>
      <c r="Z40" s="600"/>
      <c r="AA40" s="600"/>
      <c r="AB40" s="600"/>
      <c r="AC40" s="600"/>
      <c r="AD40" s="329"/>
      <c r="AE40" s="334"/>
    </row>
    <row r="41" customFormat="false" ht="15" hidden="false" customHeight="true" outlineLevel="0" collapsed="false">
      <c r="A41" s="345"/>
      <c r="B41" s="593"/>
      <c r="C41" s="345"/>
      <c r="D41" s="600" t="s">
        <v>804</v>
      </c>
      <c r="E41" s="600"/>
      <c r="F41" s="600"/>
      <c r="G41" s="600"/>
      <c r="H41" s="600"/>
      <c r="I41" s="600"/>
      <c r="J41" s="600"/>
      <c r="K41" s="600"/>
      <c r="L41" s="600"/>
      <c r="M41" s="600"/>
      <c r="N41" s="345"/>
      <c r="O41" s="345"/>
      <c r="P41" s="594"/>
      <c r="Q41" s="345"/>
      <c r="R41" s="593"/>
      <c r="S41" s="345"/>
      <c r="T41" s="337" t="s">
        <v>805</v>
      </c>
      <c r="U41" s="337"/>
      <c r="V41" s="337"/>
      <c r="W41" s="337"/>
      <c r="X41" s="337"/>
      <c r="Y41" s="600" t="s">
        <v>806</v>
      </c>
      <c r="Z41" s="600"/>
      <c r="AA41" s="600"/>
      <c r="AB41" s="600"/>
      <c r="AC41" s="600"/>
      <c r="AD41" s="329"/>
      <c r="AE41" s="334"/>
    </row>
    <row r="42" customFormat="false" ht="15" hidden="false" customHeight="true" outlineLevel="0" collapsed="false">
      <c r="A42" s="345"/>
      <c r="B42" s="605"/>
      <c r="C42" s="606"/>
      <c r="D42" s="606"/>
      <c r="E42" s="606"/>
      <c r="F42" s="606"/>
      <c r="G42" s="606"/>
      <c r="H42" s="606"/>
      <c r="I42" s="606"/>
      <c r="J42" s="606"/>
      <c r="K42" s="606"/>
      <c r="L42" s="606"/>
      <c r="M42" s="606"/>
      <c r="N42" s="606"/>
      <c r="O42" s="606"/>
      <c r="P42" s="607"/>
      <c r="Q42" s="345"/>
      <c r="R42" s="593"/>
      <c r="S42" s="345"/>
      <c r="T42" s="600" t="s">
        <v>807</v>
      </c>
      <c r="U42" s="600"/>
      <c r="V42" s="600"/>
      <c r="W42" s="600"/>
      <c r="X42" s="600"/>
      <c r="Y42" s="600" t="s">
        <v>808</v>
      </c>
      <c r="Z42" s="600"/>
      <c r="AA42" s="600"/>
      <c r="AB42" s="600"/>
      <c r="AC42" s="600"/>
      <c r="AD42" s="329"/>
      <c r="AE42" s="334"/>
    </row>
    <row r="43" customFormat="false" ht="15" hidden="false" customHeight="true" outlineLevel="0" collapsed="false">
      <c r="A43" s="345"/>
      <c r="B43" s="329"/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45"/>
      <c r="R43" s="593"/>
      <c r="S43" s="345"/>
      <c r="T43" s="600" t="s">
        <v>809</v>
      </c>
      <c r="U43" s="600"/>
      <c r="V43" s="600"/>
      <c r="W43" s="600"/>
      <c r="X43" s="600"/>
      <c r="Y43" s="600" t="s">
        <v>810</v>
      </c>
      <c r="Z43" s="600"/>
      <c r="AA43" s="600"/>
      <c r="AB43" s="600"/>
      <c r="AC43" s="600"/>
      <c r="AD43" s="329"/>
      <c r="AE43" s="334"/>
    </row>
    <row r="44" customFormat="false" ht="15" hidden="false" customHeight="true" outlineLevel="0" collapsed="false">
      <c r="A44" s="345"/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593"/>
      <c r="S44" s="345"/>
      <c r="T44" s="345"/>
      <c r="U44" s="345"/>
      <c r="V44" s="345"/>
      <c r="W44" s="345"/>
      <c r="X44" s="345"/>
      <c r="Y44" s="345"/>
      <c r="Z44" s="345"/>
      <c r="AA44" s="345"/>
      <c r="AB44" s="329"/>
      <c r="AC44" s="329"/>
      <c r="AD44" s="329"/>
      <c r="AE44" s="334"/>
    </row>
    <row r="45" customFormat="false" ht="15" hidden="false" customHeight="true" outlineLevel="0" collapsed="false">
      <c r="A45" s="345"/>
      <c r="B45" s="345"/>
      <c r="C45" s="345"/>
      <c r="D45" s="345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593"/>
      <c r="S45" s="597" t="s">
        <v>811</v>
      </c>
      <c r="T45" s="597"/>
      <c r="U45" s="597"/>
      <c r="V45" s="597"/>
      <c r="W45" s="597"/>
      <c r="X45" s="597"/>
      <c r="Y45" s="597"/>
      <c r="Z45" s="597"/>
      <c r="AA45" s="597"/>
      <c r="AB45" s="597"/>
      <c r="AC45" s="597"/>
      <c r="AD45" s="597"/>
      <c r="AE45" s="334"/>
    </row>
    <row r="46" customFormat="false" ht="15" hidden="false" customHeight="true" outlineLevel="0" collapsed="false">
      <c r="A46" s="345"/>
      <c r="B46" s="345"/>
      <c r="C46" s="345"/>
      <c r="D46" s="345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593"/>
      <c r="S46" s="600" t="s">
        <v>812</v>
      </c>
      <c r="T46" s="600"/>
      <c r="U46" s="600"/>
      <c r="V46" s="600"/>
      <c r="W46" s="600"/>
      <c r="X46" s="600"/>
      <c r="Y46" s="600"/>
      <c r="Z46" s="600"/>
      <c r="AA46" s="600"/>
      <c r="AB46" s="600"/>
      <c r="AC46" s="600"/>
      <c r="AD46" s="600"/>
      <c r="AE46" s="334"/>
    </row>
    <row r="47" customFormat="false" ht="15" hidden="false" customHeight="true" outlineLevel="0" collapsed="false">
      <c r="A47" s="345"/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593"/>
      <c r="S47" s="345"/>
      <c r="T47" s="337" t="s">
        <v>774</v>
      </c>
      <c r="U47" s="337"/>
      <c r="V47" s="337"/>
      <c r="W47" s="337"/>
      <c r="X47" s="337"/>
      <c r="Y47" s="337"/>
      <c r="Z47" s="345"/>
      <c r="AA47" s="345"/>
      <c r="AB47" s="329"/>
      <c r="AC47" s="329"/>
      <c r="AD47" s="329"/>
      <c r="AE47" s="334"/>
    </row>
    <row r="48" customFormat="false" ht="15" hidden="false" customHeight="true" outlineLevel="0" collapsed="false">
      <c r="A48" s="345"/>
      <c r="B48" s="345"/>
      <c r="C48" s="345"/>
      <c r="D48" s="345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593"/>
      <c r="S48" s="345"/>
      <c r="T48" s="329"/>
      <c r="U48" s="337" t="s">
        <v>813</v>
      </c>
      <c r="V48" s="337"/>
      <c r="W48" s="337"/>
      <c r="X48" s="337"/>
      <c r="Y48" s="337"/>
      <c r="Z48" s="329"/>
      <c r="AA48" s="329"/>
      <c r="AB48" s="329"/>
      <c r="AC48" s="329"/>
      <c r="AD48" s="329"/>
      <c r="AE48" s="334"/>
    </row>
    <row r="49" customFormat="false" ht="15" hidden="false" customHeight="true" outlineLevel="0" collapsed="false">
      <c r="A49" s="345"/>
      <c r="B49" s="345"/>
      <c r="C49" s="345"/>
      <c r="D49" s="345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593"/>
      <c r="S49" s="345"/>
      <c r="T49" s="329"/>
      <c r="U49" s="600" t="s">
        <v>814</v>
      </c>
      <c r="V49" s="600"/>
      <c r="W49" s="600"/>
      <c r="X49" s="600"/>
      <c r="Y49" s="600"/>
      <c r="Z49" s="329"/>
      <c r="AA49" s="329"/>
      <c r="AB49" s="329"/>
      <c r="AC49" s="329"/>
      <c r="AD49" s="329"/>
      <c r="AE49" s="334"/>
    </row>
    <row r="50" customFormat="false" ht="15" hidden="false" customHeight="true" outlineLevel="0" collapsed="false">
      <c r="A50" s="345"/>
      <c r="B50" s="345"/>
      <c r="C50" s="345"/>
      <c r="D50" s="345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593"/>
      <c r="S50" s="345"/>
      <c r="T50" s="329"/>
      <c r="U50" s="600" t="s">
        <v>815</v>
      </c>
      <c r="V50" s="600"/>
      <c r="W50" s="600"/>
      <c r="X50" s="600"/>
      <c r="Y50" s="600"/>
      <c r="Z50" s="329"/>
      <c r="AA50" s="329"/>
      <c r="AB50" s="329"/>
      <c r="AC50" s="329"/>
      <c r="AD50" s="329"/>
      <c r="AE50" s="334"/>
    </row>
    <row r="51" customFormat="false" ht="15" hidden="false" customHeight="true" outlineLevel="0" collapsed="false">
      <c r="A51" s="345"/>
      <c r="B51" s="345"/>
      <c r="C51" s="345"/>
      <c r="D51" s="345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593"/>
      <c r="S51" s="345"/>
      <c r="T51" s="329"/>
      <c r="U51" s="600" t="s">
        <v>816</v>
      </c>
      <c r="V51" s="600"/>
      <c r="W51" s="600"/>
      <c r="X51" s="600"/>
      <c r="Y51" s="600"/>
      <c r="Z51" s="329"/>
      <c r="AA51" s="329"/>
      <c r="AB51" s="329"/>
      <c r="AC51" s="329"/>
      <c r="AD51" s="329"/>
      <c r="AE51" s="334"/>
    </row>
    <row r="52" customFormat="false" ht="15" hidden="false" customHeight="true" outlineLevel="0" collapsed="false">
      <c r="A52" s="345"/>
      <c r="B52" s="329"/>
      <c r="C52" s="329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45"/>
      <c r="R52" s="605"/>
      <c r="S52" s="606"/>
      <c r="T52" s="606"/>
      <c r="U52" s="606"/>
      <c r="V52" s="606"/>
      <c r="W52" s="606"/>
      <c r="X52" s="606"/>
      <c r="Y52" s="606"/>
      <c r="Z52" s="606"/>
      <c r="AA52" s="606"/>
      <c r="AB52" s="608"/>
      <c r="AC52" s="608"/>
      <c r="AD52" s="608"/>
      <c r="AE52" s="609"/>
    </row>
    <row r="53" customFormat="false" ht="15" hidden="false" customHeight="true" outlineLevel="0" collapsed="false">
      <c r="A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customFormat="false" ht="1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</sheetData>
  <mergeCells count="94">
    <mergeCell ref="B2:P2"/>
    <mergeCell ref="R2:AE2"/>
    <mergeCell ref="C4:N4"/>
    <mergeCell ref="S4:AD4"/>
    <mergeCell ref="C5:N5"/>
    <mergeCell ref="D6:M6"/>
    <mergeCell ref="S6:AD6"/>
    <mergeCell ref="D7:M7"/>
    <mergeCell ref="T7:AC7"/>
    <mergeCell ref="T8:AC8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T14:V14"/>
    <mergeCell ref="W14:Z14"/>
    <mergeCell ref="AA14:AC14"/>
    <mergeCell ref="C15:N15"/>
    <mergeCell ref="T15:V15"/>
    <mergeCell ref="C17:N17"/>
    <mergeCell ref="S17:AD17"/>
    <mergeCell ref="C18:N18"/>
    <mergeCell ref="T18:V18"/>
    <mergeCell ref="W18:Y18"/>
    <mergeCell ref="D19:M19"/>
    <mergeCell ref="T19:V19"/>
    <mergeCell ref="W19:Y19"/>
    <mergeCell ref="D20:M20"/>
    <mergeCell ref="T20:V20"/>
    <mergeCell ref="Y20:AA20"/>
    <mergeCell ref="C22:N22"/>
    <mergeCell ref="S22:AD22"/>
    <mergeCell ref="C23:N23"/>
    <mergeCell ref="S23:AD23"/>
    <mergeCell ref="D24:M24"/>
    <mergeCell ref="T24:X24"/>
    <mergeCell ref="D25:M25"/>
    <mergeCell ref="T25:Y25"/>
    <mergeCell ref="Z25:AD25"/>
    <mergeCell ref="T26:X26"/>
    <mergeCell ref="Z26:AD26"/>
    <mergeCell ref="C27:N27"/>
    <mergeCell ref="T27:X27"/>
    <mergeCell ref="Z27:AD27"/>
    <mergeCell ref="C28:O28"/>
    <mergeCell ref="T28:X28"/>
    <mergeCell ref="Z28:AD28"/>
    <mergeCell ref="D29:M29"/>
    <mergeCell ref="T29:X29"/>
    <mergeCell ref="Z29:AD29"/>
    <mergeCell ref="D30:M30"/>
    <mergeCell ref="S31:AD31"/>
    <mergeCell ref="C32:N32"/>
    <mergeCell ref="S32:AD32"/>
    <mergeCell ref="C33:N33"/>
    <mergeCell ref="T33:X33"/>
    <mergeCell ref="Y33:AC33"/>
    <mergeCell ref="D34:M34"/>
    <mergeCell ref="T34:X34"/>
    <mergeCell ref="Y34:AC34"/>
    <mergeCell ref="D35:M35"/>
    <mergeCell ref="T35:X35"/>
    <mergeCell ref="Y35:AC35"/>
    <mergeCell ref="T36:X36"/>
    <mergeCell ref="Y36:AC36"/>
    <mergeCell ref="C37:N37"/>
    <mergeCell ref="C38:N38"/>
    <mergeCell ref="S38:AD38"/>
    <mergeCell ref="D39:M39"/>
    <mergeCell ref="S39:AD39"/>
    <mergeCell ref="D40:M40"/>
    <mergeCell ref="T40:X40"/>
    <mergeCell ref="Y40:AC40"/>
    <mergeCell ref="D41:M41"/>
    <mergeCell ref="T41:X41"/>
    <mergeCell ref="Y41:AC41"/>
    <mergeCell ref="T42:X42"/>
    <mergeCell ref="Y42:AC42"/>
    <mergeCell ref="T43:X43"/>
    <mergeCell ref="Y43:AC43"/>
    <mergeCell ref="S45:AD45"/>
    <mergeCell ref="S46:AD46"/>
    <mergeCell ref="T47:Y47"/>
    <mergeCell ref="U48:Y48"/>
    <mergeCell ref="U49:Y49"/>
    <mergeCell ref="U50:Y50"/>
    <mergeCell ref="U51:Y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2026-09-08T05:43:01Z</dcterms:created>
  <dc:creator/>
  <dc:description/>
  <dc:language>en-US</dc:language>
  <cp:lastModifiedBy/>
  <dcterms:modified xsi:type="dcterms:W3CDTF">2026-09-10T00:19:24Z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